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Jan 2026" sheetId="2" state="visible" r:id="rId4"/>
    <sheet name="Feb 2026" sheetId="3" state="visible" r:id="rId5"/>
    <sheet name="Mar 2026" sheetId="4" state="visible" r:id="rId6"/>
    <sheet name="Apr 2026" sheetId="5" state="visible" r:id="rId7"/>
    <sheet name="May 2026" sheetId="6" state="visible" r:id="rId8"/>
    <sheet name="Jun 2026" sheetId="7" state="visible" r:id="rId9"/>
    <sheet name="Jul 2026 (Template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<sst xmlns="http://schemas.openxmlformats.org/spreadsheetml/2006/main" count="770" uniqueCount="232">
  <si>
    <t xml:space="preserve">KUNAL'S PERSONAL BUDGET TRACKER — 2026</t>
  </si>
  <si>
    <t xml:space="preserve">6-MONTH HISTORY (Jan–Jun 2026)</t>
  </si>
  <si>
    <t xml:space="preserve">Month</t>
  </si>
  <si>
    <t xml:space="preserve">Income (₹)</t>
  </si>
  <si>
    <t xml:space="preserve">Expenses (₹)</t>
  </si>
  <si>
    <t xml:space="preserve">Net (₹)</t>
  </si>
  <si>
    <t xml:space="preserve">SIP</t>
  </si>
  <si>
    <t xml:space="preserve">Travel</t>
  </si>
  <si>
    <t xml:space="preserve">Food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</si>
  <si>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</si>
  <si>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</si>
  <si>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</si>
  <si>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</si>
  <si>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</si>
  <si>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2026*</t>
  </si>
  <si>
    <t xml:space="preserve">TOTAL (Jan–May confirmed)</t>
  </si>
  <si>
    <t xml:space="preserve">* June 2026 partial — data up to 10th June only</t>
  </si>
  <si>
    <t xml:space="preserve">RECOMMENDED MONTHLY BUDGET @ ₹2,500</t>
  </si>
  <si>
    <t xml:space="preserve">Category</t>
  </si>
  <si>
    <t xml:space="preserve">Budget</t>
  </si>
  <si>
    <t xml:space="preserve">Type</t>
  </si>
  <si>
    <t xml:space="preserve">Rule</t>
  </si>
  <si>
    <t xml:space="preserve">SIP Investment</t>
  </si>
  <si>
    <t xml:space="preserve">FIXED</t>
  </si>
  <si>
    <t xml:space="preserve">Never skip</t>
  </si>
  <si>
    <t xml:space="preserve">Mobile Recharge</t>
  </si>
  <si>
    <t xml:space="preserve">₹349/month plan</t>
  </si>
  <si>
    <t xml:space="preserve">Travel Fund</t>
  </si>
  <si>
    <t xml:space="preserve">Save each month, spend on travel month</t>
  </si>
  <si>
    <t xml:space="preserve">Food (all)</t>
  </si>
  <si>
    <t xml:space="preserve">VARIABLE</t>
  </si>
  <si>
    <t xml:space="preserve">Fast food ≤₹150 | No single spend &gt;₹100</t>
  </si>
  <si>
    <t xml:space="preserve">Local Transport</t>
  </si>
  <si>
    <t xml:space="preserve">Metro/auto</t>
  </si>
  <si>
    <t xml:space="preserve">Essentials</t>
  </si>
  <si>
    <t xml:space="preserve">Toiletries, groceries</t>
  </si>
  <si>
    <t xml:space="preserve">Social/Friends</t>
  </si>
  <si>
    <t xml:space="preserve">1 outing max — say no to big parties</t>
  </si>
  <si>
    <t xml:space="preserve">Stationery</t>
  </si>
  <si>
    <t xml:space="preserve">Prints, pens, notebook</t>
  </si>
  <si>
    <t xml:space="preserve">Misc Buffer</t>
  </si>
  <si>
    <t xml:space="preserve">Name every rupee — no Miss Exp!</t>
  </si>
  <si>
    <t xml:space="preserve">Month-end Savings</t>
  </si>
  <si>
    <t xml:space="preserve">SAVINGS</t>
  </si>
  <si>
    <t xml:space="preserve">Transfer out on 1st of next month</t>
  </si>
  <si>
    <t xml:space="preserve">TOTAL</t>
  </si>
  <si>
    <t xml:space="preserve">Your full 2,500 inflow is accounted for</t>
  </si>
  <si>
    <t xml:space="preserve">Jan 2026 — Daily Expense Log</t>
  </si>
  <si>
    <t xml:space="preserve">Opening C/F</t>
  </si>
  <si>
    <t xml:space="preserve">Total Income</t>
  </si>
  <si>
    <t xml:space="preserve">Total Expense</t>
  </si>
  <si>
    <t xml:space="preserve">Net Savings</t>
  </si>
  <si>
    <t xml:space="preserve">-₹451</t>
  </si>
  <si>
    <t xml:space="preserve">Date</t>
  </si>
  <si>
    <t xml:space="preserve">Description</t>
  </si>
  <si>
    <t xml:space="preserve">Expense (₹)</t>
  </si>
  <si>
    <t xml:space="preserve">01-01</t>
  </si>
  <si>
    <t xml:space="preserve">Investment</t>
  </si>
  <si>
    <t xml:space="preserve">04-01</t>
  </si>
  <si>
    <t xml:space="preserve">Hair</t>
  </si>
  <si>
    <t xml:space="preserve">Personal</t>
  </si>
  <si>
    <t xml:space="preserve">Fast Food</t>
  </si>
  <si>
    <t xml:space="preserve">Ink</t>
  </si>
  <si>
    <t xml:space="preserve">05-01</t>
  </si>
  <si>
    <t xml:space="preserve">Mom</t>
  </si>
  <si>
    <t xml:space="preserve">Family</t>
  </si>
  <si>
    <t xml:space="preserve">Tissue</t>
  </si>
  <si>
    <t xml:space="preserve">Transport</t>
  </si>
  <si>
    <t xml:space="preserve">06-01</t>
  </si>
  <si>
    <t xml:space="preserve">07-01</t>
  </si>
  <si>
    <t xml:space="preserve">Home</t>
  </si>
  <si>
    <t xml:space="preserve">10-01</t>
  </si>
  <si>
    <t xml:space="preserve">Fraud Golu Recovery</t>
  </si>
  <si>
    <t xml:space="preserve">Income</t>
  </si>
  <si>
    <t xml:space="preserve">11-01</t>
  </si>
  <si>
    <t xml:space="preserve">Recharge</t>
  </si>
  <si>
    <t xml:space="preserve">12-01</t>
  </si>
  <si>
    <t xml:space="preserve">14-01</t>
  </si>
  <si>
    <t xml:space="preserve">15-01</t>
  </si>
  <si>
    <t xml:space="preserve">College Fees</t>
  </si>
  <si>
    <t xml:space="preserve">Education</t>
  </si>
  <si>
    <t xml:space="preserve">16-01</t>
  </si>
  <si>
    <t xml:space="preserve">Train ticket</t>
  </si>
  <si>
    <t xml:space="preserve">17-01</t>
  </si>
  <si>
    <t xml:space="preserve">20-01</t>
  </si>
  <si>
    <t xml:space="preserve">21-01</t>
  </si>
  <si>
    <t xml:space="preserve">26-01</t>
  </si>
  <si>
    <t xml:space="preserve">Papa Cash</t>
  </si>
  <si>
    <t xml:space="preserve">Train Return (received)</t>
  </si>
  <si>
    <t xml:space="preserve">General Goods</t>
  </si>
  <si>
    <t xml:space="preserve">27-01</t>
  </si>
  <si>
    <t xml:space="preserve">Flipkart</t>
  </si>
  <si>
    <t xml:space="preserve">Shopping</t>
  </si>
  <si>
    <t xml:space="preserve">30-01</t>
  </si>
  <si>
    <t xml:space="preserve">31-01</t>
  </si>
  <si>
    <t xml:space="preserve">Didi</t>
  </si>
  <si>
    <t xml:space="preserve">Feb 2026 — Daily Expense Log</t>
  </si>
  <si>
    <t xml:space="preserve">-₹882</t>
  </si>
  <si>
    <t xml:space="preserve">02-02</t>
  </si>
  <si>
    <t xml:space="preserve">03-02</t>
  </si>
  <si>
    <t xml:space="preserve">04-02</t>
  </si>
  <si>
    <t xml:space="preserve">Vikee</t>
  </si>
  <si>
    <t xml:space="preserve">Social</t>
  </si>
  <si>
    <t xml:space="preserve">06-02</t>
  </si>
  <si>
    <t xml:space="preserve">Miss Exp</t>
  </si>
  <si>
    <t xml:space="preserve">Misc</t>
  </si>
  <si>
    <t xml:space="preserve">08-02</t>
  </si>
  <si>
    <t xml:space="preserve">09-02</t>
  </si>
  <si>
    <t xml:space="preserve">10-02</t>
  </si>
  <si>
    <t xml:space="preserve">11-02</t>
  </si>
  <si>
    <t xml:space="preserve">14-02</t>
  </si>
  <si>
    <t xml:space="preserve">16-02</t>
  </si>
  <si>
    <t xml:space="preserve">17-02</t>
  </si>
  <si>
    <t xml:space="preserve">Nitish</t>
  </si>
  <si>
    <t xml:space="preserve">22-02</t>
  </si>
  <si>
    <t xml:space="preserve">23-02</t>
  </si>
  <si>
    <t xml:space="preserve">Aditya</t>
  </si>
  <si>
    <t xml:space="preserve">Beer Bottle</t>
  </si>
  <si>
    <t xml:space="preserve">24-02</t>
  </si>
  <si>
    <t xml:space="preserve">Aditya (paid for)</t>
  </si>
  <si>
    <t xml:space="preserve">Aditya (received)</t>
  </si>
  <si>
    <t xml:space="preserve">25-02</t>
  </si>
  <si>
    <t xml:space="preserve">Aditya Dalal</t>
  </si>
  <si>
    <t xml:space="preserve">Aditya Kanhaiya</t>
  </si>
  <si>
    <t xml:space="preserve">Aditya (paid)</t>
  </si>
  <si>
    <t xml:space="preserve">26-02</t>
  </si>
  <si>
    <t xml:space="preserve">27-02</t>
  </si>
  <si>
    <t xml:space="preserve">28-02</t>
  </si>
  <si>
    <t xml:space="preserve">Mar 2026 — Daily Expense Log</t>
  </si>
  <si>
    <t xml:space="preserve">-₹764</t>
  </si>
  <si>
    <t xml:space="preserve">01-03</t>
  </si>
  <si>
    <t xml:space="preserve">Abhishek</t>
  </si>
  <si>
    <t xml:space="preserve">Aditya Train Ticket</t>
  </si>
  <si>
    <t xml:space="preserve">02-03</t>
  </si>
  <si>
    <t xml:space="preserve">Rikesh</t>
  </si>
  <si>
    <t xml:space="preserve">03-03</t>
  </si>
  <si>
    <t xml:space="preserve">Fast Food Holi</t>
  </si>
  <si>
    <t xml:space="preserve">05-03</t>
  </si>
  <si>
    <t xml:space="preserve">Aditya (recovered)</t>
  </si>
  <si>
    <t xml:space="preserve">06-03</t>
  </si>
  <si>
    <t xml:space="preserve">09-03</t>
  </si>
  <si>
    <t xml:space="preserve">Egg</t>
  </si>
  <si>
    <t xml:space="preserve">11-03</t>
  </si>
  <si>
    <t xml:space="preserve">12-03</t>
  </si>
  <si>
    <t xml:space="preserve">Niraj</t>
  </si>
  <si>
    <t xml:space="preserve">16-03</t>
  </si>
  <si>
    <t xml:space="preserve">17-03</t>
  </si>
  <si>
    <t xml:space="preserve">18-03</t>
  </si>
  <si>
    <t xml:space="preserve">19-03</t>
  </si>
  <si>
    <t xml:space="preserve">Print Out</t>
  </si>
  <si>
    <t xml:space="preserve">20-03</t>
  </si>
  <si>
    <t xml:space="preserve">21-03</t>
  </si>
  <si>
    <t xml:space="preserve">Apr 2026 — Daily Expense Log</t>
  </si>
  <si>
    <t xml:space="preserve">-₹206</t>
  </si>
  <si>
    <t xml:space="preserve">06-04</t>
  </si>
  <si>
    <t xml:space="preserve">09-04</t>
  </si>
  <si>
    <t xml:space="preserve">Medicine</t>
  </si>
  <si>
    <t xml:space="preserve">10-04</t>
  </si>
  <si>
    <t xml:space="preserve">11-04</t>
  </si>
  <si>
    <t xml:space="preserve">17-04</t>
  </si>
  <si>
    <t xml:space="preserve">22-04</t>
  </si>
  <si>
    <t xml:space="preserve">23-04</t>
  </si>
  <si>
    <t xml:space="preserve">24-04</t>
  </si>
  <si>
    <t xml:space="preserve">27-04</t>
  </si>
  <si>
    <t xml:space="preserve">Chicken</t>
  </si>
  <si>
    <t xml:space="preserve">28-04</t>
  </si>
  <si>
    <t xml:space="preserve">Fruit</t>
  </si>
  <si>
    <t xml:space="preserve">Work Income</t>
  </si>
  <si>
    <t xml:space="preserve">29-04</t>
  </si>
  <si>
    <t xml:space="preserve">30-04</t>
  </si>
  <si>
    <t xml:space="preserve">May 2026 — Daily Expense Log</t>
  </si>
  <si>
    <t xml:space="preserve">-₹439</t>
  </si>
  <si>
    <t xml:space="preserve">04-05</t>
  </si>
  <si>
    <t xml:space="preserve">06-05</t>
  </si>
  <si>
    <t xml:space="preserve">Train Ticket Commission</t>
  </si>
  <si>
    <t xml:space="preserve">08-05</t>
  </si>
  <si>
    <t xml:space="preserve">12-05</t>
  </si>
  <si>
    <t xml:space="preserve">13-05</t>
  </si>
  <si>
    <t xml:space="preserve">Chicken Party</t>
  </si>
  <si>
    <t xml:space="preserve">15-05</t>
  </si>
  <si>
    <t xml:space="preserve">16-05</t>
  </si>
  <si>
    <t xml:space="preserve">20-05</t>
  </si>
  <si>
    <t xml:space="preserve">Ranjan</t>
  </si>
  <si>
    <t xml:space="preserve">22-05</t>
  </si>
  <si>
    <t xml:space="preserve">Fruit Nimbu</t>
  </si>
  <si>
    <t xml:space="preserve">Curd</t>
  </si>
  <si>
    <t xml:space="preserve">24-05</t>
  </si>
  <si>
    <t xml:space="preserve">Mango</t>
  </si>
  <si>
    <t xml:space="preserve">25-05</t>
  </si>
  <si>
    <t xml:space="preserve">Debt</t>
  </si>
  <si>
    <t xml:space="preserve">Sugar</t>
  </si>
  <si>
    <t xml:space="preserve">26-05</t>
  </si>
  <si>
    <t xml:space="preserve">28-05</t>
  </si>
  <si>
    <t xml:space="preserve">30-05</t>
  </si>
  <si>
    <t xml:space="preserve">Jun 2026 — Daily Expense Log</t>
  </si>
  <si>
    <t xml:space="preserve">-₹104</t>
  </si>
  <si>
    <t xml:space="preserve">01-06</t>
  </si>
  <si>
    <t xml:space="preserve">04-06</t>
  </si>
  <si>
    <t xml:space="preserve">Bag Flipkart</t>
  </si>
  <si>
    <t xml:space="preserve">05-06</t>
  </si>
  <si>
    <t xml:space="preserve">06-06</t>
  </si>
  <si>
    <t xml:space="preserve">Nimbu</t>
  </si>
  <si>
    <t xml:space="preserve">Travel Metro</t>
  </si>
  <si>
    <t xml:space="preserve">07-06</t>
  </si>
  <si>
    <t xml:space="preserve">Transport Metro</t>
  </si>
  <si>
    <t xml:space="preserve">Water Bottle</t>
  </si>
  <si>
    <t xml:space="preserve">08-06</t>
  </si>
  <si>
    <t xml:space="preserve">Tushar</t>
  </si>
  <si>
    <t xml:space="preserve">Travel IRCTC refund</t>
  </si>
  <si>
    <t xml:space="preserve">Kanhaiya</t>
  </si>
  <si>
    <t xml:space="preserve">09-06</t>
  </si>
  <si>
    <t xml:space="preserve">Clothes</t>
  </si>
  <si>
    <t xml:space="preserve">Papa</t>
  </si>
  <si>
    <t xml:space="preserve">Sweets</t>
  </si>
  <si>
    <t xml:space="preserve">Extra Income</t>
  </si>
  <si>
    <t xml:space="preserve">JULY 2026 — BUDGET TRACKER (Fill daily)</t>
  </si>
  <si>
    <t xml:space="preserve">Opening Bal</t>
  </si>
  <si>
    <t xml:space="preserve">Monthly Budget</t>
  </si>
  <si>
    <t xml:space="preserve">Total Spent</t>
  </si>
  <si>
    <t xml:space="preserve">Budget Left</t>
  </si>
  <si>
    <t xml:space="preserve">Closing Bal</t>
  </si>
  <si>
    <t xml:space="preserve">₹450</t>
  </si>
  <si>
    <t xml:space="preserve">₹2,500</t>
  </si>
  <si>
    <t xml:space="preserve">BUDGET ALLOCATION — Category wise</t>
  </si>
  <si>
    <t xml:space="preserve">Spent</t>
  </si>
  <si>
    <t xml:space="preserve">Remaining</t>
  </si>
  <si>
    <t xml:space="preserve">%Used</t>
  </si>
  <si>
    <t xml:space="preserve">Status</t>
  </si>
  <si>
    <t xml:space="preserve">Savings</t>
  </si>
  <si>
    <t xml:space="preserve">DAILY LOG — Enter each transaction below</t>
  </si>
  <si>
    <t xml:space="preserve">Notes</t>
  </si>
  <si>
    <t xml:space="preserve">CATEGORY NAMES (copy exactly): SIP | Mobile Recharge | Travel Fund | Food | Transport | Essentials | Social | Stationery | Misc | Savings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</si>
</sst>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E74C3C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8"/>
      <color rgb="FFE76F51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8"/>
      <color rgb="FF2A9D8F"/>
      <name val="Arial"/>
      <family val="0"/>
      <charset val="1"/>
    </font>
    <font>
      <b val="true"/>
      <sz val="8"/>
      <color rgb="FF27AE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2"/>
      <color rgb="FFE9C46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64653"/>
        <bgColor rgb="FF444444"/>
      </patternFill>
    </fill>
    <fill>
      <patternFill patternType="solid">
        <fgColor rgb="FF2A9D8F"/>
        <bgColor rgb="FF27AE60"/>
      </patternFill>
    </fill>
    <fill>
      <patternFill patternType="solid">
        <fgColor rgb="FFF0F0F0"/>
        <bgColor rgb="FFFFFFFF"/>
      </patternFill>
    </fill>
    <fill>
      <patternFill patternType="solid">
        <fgColor rgb="FFFFFFFF"/>
        <bgColor rgb="FFF0F0F0"/>
      </patternFill>
    </fill>
    <fill>
      <patternFill patternType="solid">
        <fgColor rgb="FFFFE5CC"/>
        <bgColor rgb="FFF0F0F0"/>
      </patternFill>
    </fill>
    <fill>
      <patternFill patternType="solid">
        <fgColor rgb="FFD4EDEA"/>
        <bgColor rgb="FFD4F0E0"/>
      </patternFill>
    </fill>
    <fill>
      <patternFill patternType="solid">
        <fgColor rgb="FFD4F0E0"/>
        <bgColor rgb="FFD4EDEA"/>
      </patternFill>
    </fill>
    <fill>
      <patternFill patternType="solid">
        <fgColor rgb="FFE76F51"/>
        <bgColor rgb="FFE74C3C"/>
      </patternFill>
    </fill>
    <fill>
      <patternFill patternType="solid">
        <fgColor rgb="FF2980B9"/>
        <bgColor rgb="FF2A9D8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88888"/>
      <rgbColor rgb="FF9999FF"/>
      <rgbColor rgb="FF993366"/>
      <rgbColor rgb="FFF0F0F0"/>
      <rgbColor rgb="FFD4EDEA"/>
      <rgbColor rgb="FF660066"/>
      <rgbColor rgb="FFE76F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7AE60"/>
      <rgbColor rgb="FF0000FF"/>
      <rgbColor rgb="FF00CCFF"/>
      <rgbColor rgb="FFCCFFFF"/>
      <rgbColor rgb="FFD4F0E0"/>
      <rgbColor rgb="FFFFE5CC"/>
      <rgbColor rgb="FF99CCFF"/>
      <rgbColor rgb="FFFF99CC"/>
      <rgbColor rgb="FFCC99FF"/>
      <rgbColor rgb="FFE9C46A"/>
      <rgbColor rgb="FF3366FF"/>
      <rgbColor rgb="FF33CCCC"/>
      <rgbColor rgb="FF99CC00"/>
      <rgbColor rgb="FFFFCC00"/>
      <rgbColor rgb="FFFF9900"/>
      <rgbColor rgb="FFE74C3C"/>
      <rgbColor rgb="FF555555"/>
      <rgbColor rgb="FF969696"/>
      <rgbColor rgb="FF264653"/>
      <rgbColor rgb="FF2A9D8F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8" min="3" style="1" width="14"/>
    <col collapsed="false" customWidth="true" hidden="false" outlineLevel="0" max="9" min="9" style="1" width="2"/>
  </cols>
  <sheetData>
    <row r="1" customFormat="false" ht="16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6.5" hidden="false" customHeight="true" outlineLevel="0" collapsed="false">
      <c r="B2" s="2"/>
      <c r="C2" s="2"/>
      <c r="D2" s="2"/>
      <c r="E2" s="2"/>
      <c r="F2" s="2"/>
      <c r="G2" s="2"/>
      <c r="H2" s="2"/>
    </row>
    <row r="3" customFormat="false" ht="16.5" hidden="false" customHeight="true" outlineLevel="0" collapsed="false"/>
    <row r="4" customFormat="false" ht="16.5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5" customFormat="false" ht="16.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customFormat="false" ht="16.5" hidden="false" customHeight="true" outlineLevel="0" collapsed="false">
      <c r="B6" s="5" t="s">
        <v>9</v>
      </c>
      <c r="C6" s="6" t="n">
        <v>6470</v>
      </c>
      <c r="D6" s="6" t="n">
        <v>6039</v>
      </c>
      <c r="E6" s="7" t="n">
        <v>431</v>
      </c>
      <c r="F6" s="6" t="n">
        <v>300</v>
      </c>
      <c r="G6" s="6" t="n">
        <v>535</v>
      </c>
      <c r="H6" s="6" t="n">
        <v>490</v>
      </c>
    </row>
    <row r="7" customFormat="false" ht="16.5" hidden="false" customHeight="true" outlineLevel="0" collapsed="false">
      <c r="B7" s="8" t="s">
        <v>10</v>
      </c>
      <c r="C7" s="9" t="n">
        <v>1919</v>
      </c>
      <c r="D7" s="9" t="n">
        <v>2037</v>
      </c>
      <c r="E7" s="10" t="n">
        <v>-118</v>
      </c>
      <c r="F7" s="9" t="n">
        <v>300</v>
      </c>
      <c r="G7" s="9" t="n">
        <v>70</v>
      </c>
      <c r="H7" s="9" t="n">
        <v>387</v>
      </c>
    </row>
    <row r="8" customFormat="false" ht="16.5" hidden="false" customHeight="true" outlineLevel="0" collapsed="false">
      <c r="B8" s="5" t="s">
        <v>11</v>
      </c>
      <c r="C8" s="6" t="n">
        <v>2665</v>
      </c>
      <c r="D8" s="6" t="n">
        <v>3223</v>
      </c>
      <c r="E8" s="11" t="n">
        <v>-558</v>
      </c>
      <c r="F8" s="6" t="n">
        <v>100</v>
      </c>
      <c r="G8" s="6" t="n">
        <v>1715</v>
      </c>
      <c r="H8" s="6" t="n">
        <v>420</v>
      </c>
    </row>
    <row r="9" customFormat="false" ht="16.5" hidden="false" customHeight="true" outlineLevel="0" collapsed="false">
      <c r="B9" s="8" t="s">
        <v>12</v>
      </c>
      <c r="C9" s="9" t="n">
        <v>3060</v>
      </c>
      <c r="D9" s="9" t="n">
        <v>2827</v>
      </c>
      <c r="E9" s="12" t="n">
        <v>233</v>
      </c>
      <c r="F9" s="9" t="n">
        <v>300</v>
      </c>
      <c r="G9" s="9" t="n">
        <v>620</v>
      </c>
      <c r="H9" s="9" t="n">
        <v>628</v>
      </c>
    </row>
    <row r="10" customFormat="false" ht="16.5" hidden="false" customHeight="true" outlineLevel="0" collapsed="false">
      <c r="B10" s="5" t="s">
        <v>13</v>
      </c>
      <c r="C10" s="6" t="n">
        <v>1295</v>
      </c>
      <c r="D10" s="6" t="n">
        <v>1630</v>
      </c>
      <c r="E10" s="11" t="n">
        <v>-335</v>
      </c>
      <c r="F10" s="6" t="n">
        <v>300</v>
      </c>
      <c r="G10" s="6" t="n">
        <v>65</v>
      </c>
      <c r="H10" s="6" t="n">
        <v>950</v>
      </c>
    </row>
    <row r="11" customFormat="false" ht="16.5" hidden="false" customHeight="true" outlineLevel="0" collapsed="false">
      <c r="B11" s="8" t="s">
        <v>14</v>
      </c>
      <c r="C11" s="9" t="n">
        <v>2230</v>
      </c>
      <c r="D11" s="9" t="n">
        <v>1884</v>
      </c>
      <c r="E11" s="12" t="n">
        <v>346</v>
      </c>
      <c r="F11" s="9" t="n">
        <v>300</v>
      </c>
      <c r="G11" s="9" t="n">
        <v>869</v>
      </c>
      <c r="H11" s="9" t="n">
        <v>100</v>
      </c>
    </row>
    <row r="12" customFormat="false" ht="16.5" hidden="false" customHeight="true" outlineLevel="0" collapsed="false">
      <c r="B12" s="4" t="s">
        <v>15</v>
      </c>
      <c r="C12" s="13" t="n">
        <f aca="false">SUM(C6:C10)</f>
        <v>15409</v>
      </c>
      <c r="D12" s="13" t="n">
        <f aca="false">SUM(D6:D10)</f>
        <v>15756</v>
      </c>
      <c r="E12" s="13" t="n">
        <f aca="false">SUM(E6:E10)</f>
        <v>-347</v>
      </c>
      <c r="F12" s="13" t="n">
        <f aca="false">SUM(F6:F10)</f>
        <v>1300</v>
      </c>
      <c r="G12" s="13" t="n">
        <f aca="false">SUM(G6:G10)</f>
        <v>3005</v>
      </c>
      <c r="H12" s="13" t="n">
        <f aca="false">SUM(H6:H10)</f>
        <v>2875</v>
      </c>
    </row>
    <row r="13" customFormat="false" ht="16.5" hidden="false" customHeight="true" outlineLevel="0" collapsed="false">
      <c r="B13" s="14" t="s">
        <v>16</v>
      </c>
      <c r="C13" s="14"/>
      <c r="D13" s="14"/>
      <c r="E13" s="14"/>
      <c r="F13" s="14"/>
      <c r="G13" s="14"/>
      <c r="H13" s="14"/>
    </row>
    <row r="14" customFormat="false" ht="16.5" hidden="false" customHeight="true" outlineLevel="0" collapsed="false"/>
    <row r="15" customFormat="false" ht="16.5" hidden="false" customHeight="true" outlineLevel="0" collapsed="false">
      <c r="B15" s="3" t="s">
        <v>17</v>
      </c>
      <c r="C15" s="3"/>
      <c r="D15" s="3"/>
      <c r="E15" s="3"/>
      <c r="F15" s="3"/>
      <c r="G15" s="3"/>
      <c r="H15" s="3"/>
    </row>
    <row r="16" customFormat="false" ht="16.5" hidden="false" customHeight="true" outlineLevel="0" collapsed="false">
      <c r="B16" s="4" t="s">
        <v>18</v>
      </c>
      <c r="C16" s="4" t="s">
        <v>19</v>
      </c>
      <c r="D16" s="4" t="s">
        <v>20</v>
      </c>
      <c r="E16" s="4" t="s">
        <v>21</v>
      </c>
      <c r="F16" s="4"/>
      <c r="G16" s="4"/>
      <c r="H16" s="4"/>
    </row>
    <row r="17" customFormat="false" ht="16.5" hidden="false" customHeight="true" outlineLevel="0" collapsed="false">
      <c r="B17" s="5" t="s">
        <v>22</v>
      </c>
      <c r="C17" s="15" t="n">
        <v>300</v>
      </c>
      <c r="D17" s="16" t="s">
        <v>23</v>
      </c>
      <c r="E17" s="17" t="s">
        <v>24</v>
      </c>
      <c r="F17" s="17"/>
      <c r="G17" s="17"/>
      <c r="H17" s="17"/>
    </row>
    <row r="18" customFormat="false" ht="16.5" hidden="false" customHeight="true" outlineLevel="0" collapsed="false">
      <c r="B18" s="8" t="s">
        <v>25</v>
      </c>
      <c r="C18" s="18" t="n">
        <v>350</v>
      </c>
      <c r="D18" s="16" t="s">
        <v>23</v>
      </c>
      <c r="E18" s="19" t="s">
        <v>26</v>
      </c>
      <c r="F18" s="19"/>
      <c r="G18" s="19"/>
      <c r="H18" s="19"/>
    </row>
    <row r="19" customFormat="false" ht="16.5" hidden="false" customHeight="true" outlineLevel="0" collapsed="false">
      <c r="B19" s="5" t="s">
        <v>27</v>
      </c>
      <c r="C19" s="15" t="n">
        <v>400</v>
      </c>
      <c r="D19" s="16" t="s">
        <v>23</v>
      </c>
      <c r="E19" s="17" t="s">
        <v>28</v>
      </c>
      <c r="F19" s="17"/>
      <c r="G19" s="17"/>
      <c r="H19" s="17"/>
    </row>
    <row r="20" customFormat="false" ht="16.5" hidden="false" customHeight="true" outlineLevel="0" collapsed="false">
      <c r="B20" s="8" t="s">
        <v>29</v>
      </c>
      <c r="C20" s="18" t="n">
        <v>400</v>
      </c>
      <c r="D20" s="20" t="s">
        <v>30</v>
      </c>
      <c r="E20" s="19" t="s">
        <v>31</v>
      </c>
      <c r="F20" s="19"/>
      <c r="G20" s="19"/>
      <c r="H20" s="19"/>
    </row>
    <row r="21" customFormat="false" ht="16.5" hidden="false" customHeight="true" outlineLevel="0" collapsed="false">
      <c r="B21" s="5" t="s">
        <v>32</v>
      </c>
      <c r="C21" s="15" t="n">
        <v>150</v>
      </c>
      <c r="D21" s="20" t="s">
        <v>30</v>
      </c>
      <c r="E21" s="17" t="s">
        <v>33</v>
      </c>
      <c r="F21" s="17"/>
      <c r="G21" s="17"/>
      <c r="H21" s="17"/>
    </row>
    <row r="22" customFormat="false" ht="16.5" hidden="false" customHeight="true" outlineLevel="0" collapsed="false">
      <c r="B22" s="8" t="s">
        <v>34</v>
      </c>
      <c r="C22" s="18" t="n">
        <v>150</v>
      </c>
      <c r="D22" s="20" t="s">
        <v>30</v>
      </c>
      <c r="E22" s="19" t="s">
        <v>35</v>
      </c>
      <c r="F22" s="19"/>
      <c r="G22" s="19"/>
      <c r="H22" s="19"/>
    </row>
    <row r="23" customFormat="false" ht="16.5" hidden="false" customHeight="true" outlineLevel="0" collapsed="false">
      <c r="B23" s="5" t="s">
        <v>36</v>
      </c>
      <c r="C23" s="15" t="n">
        <v>150</v>
      </c>
      <c r="D23" s="20" t="s">
        <v>30</v>
      </c>
      <c r="E23" s="17" t="s">
        <v>37</v>
      </c>
      <c r="F23" s="17"/>
      <c r="G23" s="17"/>
      <c r="H23" s="17"/>
    </row>
    <row r="24" customFormat="false" ht="16.5" hidden="false" customHeight="true" outlineLevel="0" collapsed="false">
      <c r="B24" s="8" t="s">
        <v>38</v>
      </c>
      <c r="C24" s="18" t="n">
        <v>50</v>
      </c>
      <c r="D24" s="20" t="s">
        <v>30</v>
      </c>
      <c r="E24" s="19" t="s">
        <v>39</v>
      </c>
      <c r="F24" s="19"/>
      <c r="G24" s="19"/>
      <c r="H24" s="19"/>
    </row>
    <row r="25" customFormat="false" ht="16.5" hidden="false" customHeight="true" outlineLevel="0" collapsed="false">
      <c r="B25" s="5" t="s">
        <v>40</v>
      </c>
      <c r="C25" s="15" t="n">
        <v>200</v>
      </c>
      <c r="D25" s="20" t="s">
        <v>30</v>
      </c>
      <c r="E25" s="17" t="s">
        <v>41</v>
      </c>
      <c r="F25" s="17"/>
      <c r="G25" s="17"/>
      <c r="H25" s="17"/>
    </row>
    <row r="26" customFormat="false" ht="16.5" hidden="false" customHeight="true" outlineLevel="0" collapsed="false">
      <c r="B26" s="8" t="s">
        <v>42</v>
      </c>
      <c r="C26" s="18" t="n">
        <v>350</v>
      </c>
      <c r="D26" s="21" t="s">
        <v>43</v>
      </c>
      <c r="E26" s="19" t="s">
        <v>44</v>
      </c>
      <c r="F26" s="19"/>
      <c r="G26" s="19"/>
      <c r="H26" s="19"/>
    </row>
    <row r="27" customFormat="false" ht="16.5" hidden="false" customHeight="true" outlineLevel="0" collapsed="false">
      <c r="B27" s="4" t="s">
        <v>45</v>
      </c>
      <c r="C27" s="22" t="n">
        <f aca="false">SUM(C17:C26)</f>
        <v>2500</v>
      </c>
      <c r="D27" s="23" t="s">
        <v>46</v>
      </c>
      <c r="E27" s="23"/>
      <c r="F27" s="23"/>
      <c r="G27" s="23"/>
      <c r="H27" s="23"/>
    </row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16">
    <mergeCell ref="B1:H2"/>
    <mergeCell ref="B4:H4"/>
    <mergeCell ref="B13:H13"/>
    <mergeCell ref="B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D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2"/>
  </cols>
  <sheetData>
    <row r="1" customFormat="false" ht="21.75" hidden="false" customHeight="true" outlineLevel="0" collapsed="false">
      <c r="B1" s="24" t="s">
        <v>47</v>
      </c>
      <c r="C1" s="24"/>
      <c r="D1" s="24"/>
      <c r="E1" s="24"/>
      <c r="F1" s="24"/>
    </row>
    <row r="2" customFormat="false" ht="21.75" hidden="false" customHeight="true" outlineLevel="0" collapsed="false">
      <c r="B2" s="24"/>
      <c r="C2" s="24"/>
      <c r="D2" s="24"/>
      <c r="E2" s="24"/>
      <c r="F2" s="24"/>
    </row>
    <row r="3" customFormat="false" ht="16.5" hidden="false" customHeight="true" outlineLevel="0" collapsed="false">
      <c r="B3" s="25" t="s">
        <v>48</v>
      </c>
      <c r="C3" s="26" t="s">
        <v>49</v>
      </c>
      <c r="D3" s="27" t="s">
        <v>50</v>
      </c>
      <c r="E3" s="26" t="s">
        <v>51</v>
      </c>
      <c r="F3" s="28"/>
    </row>
    <row r="4" customFormat="false" ht="16.5" hidden="false" customHeight="true" outlineLevel="0" collapsed="false">
      <c r="B4" s="29" t="s">
        <v>52</v>
      </c>
      <c r="C4" s="30" t="n">
        <f aca="false">SUM(E7:E500)</f>
        <v>6570</v>
      </c>
      <c r="D4" s="31" t="n">
        <f aca="false">SUM(F7:F500)</f>
        <v>5939</v>
      </c>
      <c r="E4" s="30" t="n">
        <f aca="false">SUM(E7:E500)-SUM(F7:F500)-451</f>
        <v>180</v>
      </c>
      <c r="F4" s="28"/>
    </row>
    <row r="5" customFormat="false" ht="16.5" hidden="false" customHeight="true" outlineLevel="0" collapsed="false"/>
    <row r="6" customFormat="false" ht="16.5" hidden="false" customHeight="true" outlineLevel="0" collapsed="false">
      <c r="B6" s="4" t="s">
        <v>53</v>
      </c>
      <c r="C6" s="4" t="s">
        <v>54</v>
      </c>
      <c r="D6" s="4" t="s">
        <v>18</v>
      </c>
      <c r="E6" s="4" t="s">
        <v>3</v>
      </c>
      <c r="F6" s="4" t="s">
        <v>55</v>
      </c>
    </row>
    <row r="7" customFormat="false" ht="16.5" hidden="false" customHeight="true" outlineLevel="0" collapsed="false">
      <c r="B7" s="32" t="s">
        <v>56</v>
      </c>
      <c r="C7" s="33" t="s">
        <v>6</v>
      </c>
      <c r="D7" s="32" t="s">
        <v>57</v>
      </c>
      <c r="E7" s="7"/>
      <c r="F7" s="11" t="n">
        <v>100</v>
      </c>
    </row>
    <row r="8" customFormat="false" ht="16.5" hidden="false" customHeight="true" outlineLevel="0" collapsed="false">
      <c r="B8" s="34" t="s">
        <v>58</v>
      </c>
      <c r="C8" s="35" t="s">
        <v>59</v>
      </c>
      <c r="D8" s="34" t="s">
        <v>60</v>
      </c>
      <c r="E8" s="12"/>
      <c r="F8" s="10" t="n">
        <v>50</v>
      </c>
    </row>
    <row r="9" customFormat="false" ht="16.5" hidden="false" customHeight="true" outlineLevel="0" collapsed="false">
      <c r="B9" s="32" t="s">
        <v>58</v>
      </c>
      <c r="C9" s="33" t="s">
        <v>61</v>
      </c>
      <c r="D9" s="32" t="s">
        <v>8</v>
      </c>
      <c r="E9" s="7"/>
      <c r="F9" s="11" t="n">
        <v>15</v>
      </c>
    </row>
    <row r="10" customFormat="false" ht="16.5" hidden="false" customHeight="true" outlineLevel="0" collapsed="false">
      <c r="B10" s="34" t="s">
        <v>58</v>
      </c>
      <c r="C10" s="35" t="s">
        <v>62</v>
      </c>
      <c r="D10" s="34" t="s">
        <v>38</v>
      </c>
      <c r="E10" s="12"/>
      <c r="F10" s="10" t="n">
        <v>10</v>
      </c>
    </row>
    <row r="11" customFormat="false" ht="16.5" hidden="false" customHeight="true" outlineLevel="0" collapsed="false">
      <c r="B11" s="32" t="s">
        <v>63</v>
      </c>
      <c r="C11" s="33" t="s">
        <v>6</v>
      </c>
      <c r="D11" s="32" t="s">
        <v>57</v>
      </c>
      <c r="E11" s="7"/>
      <c r="F11" s="11" t="n">
        <v>200</v>
      </c>
    </row>
    <row r="12" customFormat="false" ht="16.5" hidden="false" customHeight="true" outlineLevel="0" collapsed="false">
      <c r="B12" s="34" t="s">
        <v>63</v>
      </c>
      <c r="C12" s="35" t="s">
        <v>64</v>
      </c>
      <c r="D12" s="34" t="s">
        <v>65</v>
      </c>
      <c r="E12" s="12" t="n">
        <v>500</v>
      </c>
      <c r="F12" s="10"/>
    </row>
    <row r="13" customFormat="false" ht="16.5" hidden="false" customHeight="true" outlineLevel="0" collapsed="false">
      <c r="B13" s="32" t="s">
        <v>63</v>
      </c>
      <c r="C13" s="33" t="s">
        <v>66</v>
      </c>
      <c r="D13" s="32" t="s">
        <v>34</v>
      </c>
      <c r="E13" s="7"/>
      <c r="F13" s="11" t="n">
        <v>20</v>
      </c>
    </row>
    <row r="14" customFormat="false" ht="16.5" hidden="false" customHeight="true" outlineLevel="0" collapsed="false">
      <c r="B14" s="34" t="s">
        <v>63</v>
      </c>
      <c r="C14" s="35" t="s">
        <v>61</v>
      </c>
      <c r="D14" s="34" t="s">
        <v>8</v>
      </c>
      <c r="E14" s="12"/>
      <c r="F14" s="10" t="n">
        <v>25</v>
      </c>
    </row>
    <row r="15" customFormat="false" ht="16.5" hidden="false" customHeight="true" outlineLevel="0" collapsed="false">
      <c r="B15" s="32" t="s">
        <v>63</v>
      </c>
      <c r="C15" s="33" t="s">
        <v>61</v>
      </c>
      <c r="D15" s="32" t="s">
        <v>8</v>
      </c>
      <c r="E15" s="7"/>
      <c r="F15" s="11" t="n">
        <v>50</v>
      </c>
    </row>
    <row r="16" customFormat="false" ht="16.5" hidden="false" customHeight="true" outlineLevel="0" collapsed="false">
      <c r="B16" s="34" t="s">
        <v>63</v>
      </c>
      <c r="C16" s="35" t="s">
        <v>7</v>
      </c>
      <c r="D16" s="34" t="s">
        <v>67</v>
      </c>
      <c r="E16" s="12"/>
      <c r="F16" s="10" t="n">
        <v>10</v>
      </c>
    </row>
    <row r="17" customFormat="false" ht="16.5" hidden="false" customHeight="true" outlineLevel="0" collapsed="false">
      <c r="B17" s="32" t="s">
        <v>68</v>
      </c>
      <c r="C17" s="33" t="s">
        <v>7</v>
      </c>
      <c r="D17" s="32" t="s">
        <v>67</v>
      </c>
      <c r="E17" s="7"/>
      <c r="F17" s="11" t="n">
        <v>60</v>
      </c>
    </row>
    <row r="18" customFormat="false" ht="16.5" hidden="false" customHeight="true" outlineLevel="0" collapsed="false">
      <c r="B18" s="34" t="s">
        <v>68</v>
      </c>
      <c r="C18" s="35" t="s">
        <v>7</v>
      </c>
      <c r="D18" s="34" t="s">
        <v>67</v>
      </c>
      <c r="E18" s="12"/>
      <c r="F18" s="10" t="n">
        <v>130</v>
      </c>
    </row>
    <row r="19" customFormat="false" ht="16.5" hidden="false" customHeight="true" outlineLevel="0" collapsed="false">
      <c r="B19" s="32" t="s">
        <v>68</v>
      </c>
      <c r="C19" s="33" t="s">
        <v>61</v>
      </c>
      <c r="D19" s="32" t="s">
        <v>8</v>
      </c>
      <c r="E19" s="7"/>
      <c r="F19" s="11" t="n">
        <v>170</v>
      </c>
    </row>
    <row r="20" customFormat="false" ht="16.5" hidden="false" customHeight="true" outlineLevel="0" collapsed="false">
      <c r="B20" s="34" t="s">
        <v>68</v>
      </c>
      <c r="C20" s="35" t="s">
        <v>61</v>
      </c>
      <c r="D20" s="34" t="s">
        <v>8</v>
      </c>
      <c r="E20" s="12"/>
      <c r="F20" s="10" t="n">
        <v>25</v>
      </c>
    </row>
    <row r="21" customFormat="false" ht="16.5" hidden="false" customHeight="true" outlineLevel="0" collapsed="false">
      <c r="B21" s="32" t="s">
        <v>69</v>
      </c>
      <c r="C21" s="33" t="s">
        <v>7</v>
      </c>
      <c r="D21" s="32" t="s">
        <v>67</v>
      </c>
      <c r="E21" s="7"/>
      <c r="F21" s="11" t="n">
        <v>40</v>
      </c>
    </row>
    <row r="22" customFormat="false" ht="16.5" hidden="false" customHeight="true" outlineLevel="0" collapsed="false">
      <c r="B22" s="34" t="s">
        <v>69</v>
      </c>
      <c r="C22" s="35" t="s">
        <v>61</v>
      </c>
      <c r="D22" s="34" t="s">
        <v>8</v>
      </c>
      <c r="E22" s="12"/>
      <c r="F22" s="10" t="n">
        <v>20</v>
      </c>
    </row>
    <row r="23" customFormat="false" ht="16.5" hidden="false" customHeight="true" outlineLevel="0" collapsed="false">
      <c r="B23" s="32" t="s">
        <v>69</v>
      </c>
      <c r="C23" s="33" t="s">
        <v>70</v>
      </c>
      <c r="D23" s="32" t="s">
        <v>70</v>
      </c>
      <c r="E23" s="7"/>
      <c r="F23" s="11" t="n">
        <v>30</v>
      </c>
    </row>
    <row r="24" customFormat="false" ht="16.5" hidden="false" customHeight="true" outlineLevel="0" collapsed="false">
      <c r="B24" s="34" t="s">
        <v>71</v>
      </c>
      <c r="C24" s="35" t="s">
        <v>72</v>
      </c>
      <c r="D24" s="34" t="s">
        <v>73</v>
      </c>
      <c r="E24" s="12" t="n">
        <v>500</v>
      </c>
      <c r="F24" s="10"/>
    </row>
    <row r="25" customFormat="false" ht="16.5" hidden="false" customHeight="true" outlineLevel="0" collapsed="false">
      <c r="B25" s="32" t="s">
        <v>74</v>
      </c>
      <c r="C25" s="33" t="s">
        <v>75</v>
      </c>
      <c r="D25" s="32" t="s">
        <v>75</v>
      </c>
      <c r="E25" s="7"/>
      <c r="F25" s="11" t="n">
        <v>33</v>
      </c>
    </row>
    <row r="26" customFormat="false" ht="16.5" hidden="false" customHeight="true" outlineLevel="0" collapsed="false">
      <c r="B26" s="34" t="s">
        <v>74</v>
      </c>
      <c r="C26" s="35" t="s">
        <v>61</v>
      </c>
      <c r="D26" s="34" t="s">
        <v>8</v>
      </c>
      <c r="E26" s="12"/>
      <c r="F26" s="10" t="n">
        <v>30</v>
      </c>
    </row>
    <row r="27" customFormat="false" ht="16.5" hidden="false" customHeight="true" outlineLevel="0" collapsed="false">
      <c r="B27" s="32" t="s">
        <v>76</v>
      </c>
      <c r="C27" s="33" t="s">
        <v>70</v>
      </c>
      <c r="D27" s="32" t="s">
        <v>70</v>
      </c>
      <c r="E27" s="7"/>
      <c r="F27" s="11" t="n">
        <v>5</v>
      </c>
    </row>
    <row r="28" customFormat="false" ht="16.5" hidden="false" customHeight="true" outlineLevel="0" collapsed="false">
      <c r="B28" s="34" t="s">
        <v>77</v>
      </c>
      <c r="C28" s="35" t="s">
        <v>75</v>
      </c>
      <c r="D28" s="34" t="s">
        <v>75</v>
      </c>
      <c r="E28" s="12"/>
      <c r="F28" s="10" t="n">
        <v>33</v>
      </c>
    </row>
    <row r="29" customFormat="false" ht="16.5" hidden="false" customHeight="true" outlineLevel="0" collapsed="false">
      <c r="B29" s="32" t="s">
        <v>78</v>
      </c>
      <c r="C29" s="33" t="s">
        <v>64</v>
      </c>
      <c r="D29" s="32" t="s">
        <v>65</v>
      </c>
      <c r="E29" s="7" t="n">
        <v>3400</v>
      </c>
      <c r="F29" s="11"/>
    </row>
    <row r="30" customFormat="false" ht="16.5" hidden="false" customHeight="true" outlineLevel="0" collapsed="false">
      <c r="B30" s="34" t="s">
        <v>78</v>
      </c>
      <c r="C30" s="35" t="s">
        <v>79</v>
      </c>
      <c r="D30" s="34" t="s">
        <v>80</v>
      </c>
      <c r="E30" s="12"/>
      <c r="F30" s="10" t="n">
        <v>3333</v>
      </c>
    </row>
    <row r="31" customFormat="false" ht="16.5" hidden="false" customHeight="true" outlineLevel="0" collapsed="false">
      <c r="B31" s="32" t="s">
        <v>81</v>
      </c>
      <c r="C31" s="33" t="s">
        <v>7</v>
      </c>
      <c r="D31" s="32" t="s">
        <v>67</v>
      </c>
      <c r="E31" s="7"/>
      <c r="F31" s="11" t="n">
        <v>40</v>
      </c>
    </row>
    <row r="32" customFormat="false" ht="16.5" hidden="false" customHeight="true" outlineLevel="0" collapsed="false">
      <c r="B32" s="34" t="s">
        <v>81</v>
      </c>
      <c r="C32" s="35" t="s">
        <v>82</v>
      </c>
      <c r="D32" s="34" t="s">
        <v>7</v>
      </c>
      <c r="E32" s="12"/>
      <c r="F32" s="10" t="n">
        <v>35</v>
      </c>
    </row>
    <row r="33" customFormat="false" ht="16.5" hidden="false" customHeight="true" outlineLevel="0" collapsed="false">
      <c r="B33" s="32" t="s">
        <v>83</v>
      </c>
      <c r="C33" s="33" t="s">
        <v>61</v>
      </c>
      <c r="D33" s="32" t="s">
        <v>8</v>
      </c>
      <c r="E33" s="7"/>
      <c r="F33" s="11" t="n">
        <v>20</v>
      </c>
    </row>
    <row r="34" customFormat="false" ht="16.5" hidden="false" customHeight="true" outlineLevel="0" collapsed="false">
      <c r="B34" s="34" t="s">
        <v>84</v>
      </c>
      <c r="C34" s="35" t="s">
        <v>61</v>
      </c>
      <c r="D34" s="34" t="s">
        <v>8</v>
      </c>
      <c r="E34" s="12"/>
      <c r="F34" s="10" t="n">
        <v>40</v>
      </c>
    </row>
    <row r="35" customFormat="false" ht="16.5" hidden="false" customHeight="true" outlineLevel="0" collapsed="false">
      <c r="B35" s="32" t="s">
        <v>85</v>
      </c>
      <c r="C35" s="33" t="s">
        <v>25</v>
      </c>
      <c r="D35" s="32" t="s">
        <v>75</v>
      </c>
      <c r="E35" s="7"/>
      <c r="F35" s="11" t="n">
        <v>299</v>
      </c>
    </row>
    <row r="36" customFormat="false" ht="16.5" hidden="false" customHeight="true" outlineLevel="0" collapsed="false">
      <c r="B36" s="34" t="s">
        <v>86</v>
      </c>
      <c r="C36" s="35" t="s">
        <v>87</v>
      </c>
      <c r="D36" s="34" t="s">
        <v>65</v>
      </c>
      <c r="E36" s="12" t="n">
        <v>590</v>
      </c>
      <c r="F36" s="10"/>
    </row>
    <row r="37" customFormat="false" ht="16.5" hidden="false" customHeight="true" outlineLevel="0" collapsed="false">
      <c r="B37" s="32" t="s">
        <v>86</v>
      </c>
      <c r="C37" s="33" t="s">
        <v>64</v>
      </c>
      <c r="D37" s="32" t="s">
        <v>65</v>
      </c>
      <c r="E37" s="7" t="n">
        <v>1000</v>
      </c>
      <c r="F37" s="11"/>
    </row>
    <row r="38" customFormat="false" ht="16.5" hidden="false" customHeight="true" outlineLevel="0" collapsed="false">
      <c r="B38" s="34" t="s">
        <v>86</v>
      </c>
      <c r="C38" s="35" t="s">
        <v>82</v>
      </c>
      <c r="D38" s="34" t="s">
        <v>7</v>
      </c>
      <c r="E38" s="12"/>
      <c r="F38" s="10" t="n">
        <v>70</v>
      </c>
    </row>
    <row r="39" customFormat="false" ht="16.5" hidden="false" customHeight="true" outlineLevel="0" collapsed="false">
      <c r="B39" s="32" t="s">
        <v>86</v>
      </c>
      <c r="C39" s="33" t="s">
        <v>88</v>
      </c>
      <c r="D39" s="32" t="s">
        <v>73</v>
      </c>
      <c r="E39" s="7" t="n">
        <v>480</v>
      </c>
      <c r="F39" s="11"/>
    </row>
    <row r="40" customFormat="false" ht="16.5" hidden="false" customHeight="true" outlineLevel="0" collapsed="false">
      <c r="B40" s="34" t="s">
        <v>86</v>
      </c>
      <c r="C40" s="35" t="s">
        <v>61</v>
      </c>
      <c r="D40" s="34" t="s">
        <v>8</v>
      </c>
      <c r="E40" s="12"/>
      <c r="F40" s="10" t="n">
        <v>30</v>
      </c>
    </row>
    <row r="41" customFormat="false" ht="16.5" hidden="false" customHeight="true" outlineLevel="0" collapsed="false">
      <c r="B41" s="32" t="s">
        <v>86</v>
      </c>
      <c r="C41" s="33" t="s">
        <v>82</v>
      </c>
      <c r="D41" s="32" t="s">
        <v>7</v>
      </c>
      <c r="E41" s="7"/>
      <c r="F41" s="11" t="n">
        <v>360</v>
      </c>
    </row>
    <row r="42" customFormat="false" ht="16.5" hidden="false" customHeight="true" outlineLevel="0" collapsed="false">
      <c r="B42" s="34" t="s">
        <v>86</v>
      </c>
      <c r="C42" s="35" t="s">
        <v>89</v>
      </c>
      <c r="D42" s="34" t="s">
        <v>34</v>
      </c>
      <c r="E42" s="12"/>
      <c r="F42" s="10" t="n">
        <v>55</v>
      </c>
    </row>
    <row r="43" customFormat="false" ht="16.5" hidden="false" customHeight="true" outlineLevel="0" collapsed="false">
      <c r="B43" s="32" t="s">
        <v>90</v>
      </c>
      <c r="C43" s="33" t="s">
        <v>82</v>
      </c>
      <c r="D43" s="32" t="s">
        <v>7</v>
      </c>
      <c r="E43" s="7"/>
      <c r="F43" s="11" t="n">
        <v>300</v>
      </c>
    </row>
    <row r="44" customFormat="false" ht="16.5" hidden="false" customHeight="true" outlineLevel="0" collapsed="false">
      <c r="B44" s="34" t="s">
        <v>90</v>
      </c>
      <c r="C44" s="35" t="s">
        <v>67</v>
      </c>
      <c r="D44" s="34" t="s">
        <v>67</v>
      </c>
      <c r="E44" s="12"/>
      <c r="F44" s="10" t="n">
        <v>100</v>
      </c>
    </row>
    <row r="45" customFormat="false" ht="16.5" hidden="false" customHeight="true" outlineLevel="0" collapsed="false">
      <c r="B45" s="32" t="s">
        <v>90</v>
      </c>
      <c r="C45" s="33" t="s">
        <v>91</v>
      </c>
      <c r="D45" s="32" t="s">
        <v>92</v>
      </c>
      <c r="E45" s="7"/>
      <c r="F45" s="11" t="n">
        <v>130</v>
      </c>
    </row>
    <row r="46" customFormat="false" ht="16.5" hidden="false" customHeight="true" outlineLevel="0" collapsed="false">
      <c r="B46" s="34" t="s">
        <v>93</v>
      </c>
      <c r="C46" s="35" t="s">
        <v>67</v>
      </c>
      <c r="D46" s="34" t="s">
        <v>67</v>
      </c>
      <c r="E46" s="12"/>
      <c r="F46" s="10" t="n">
        <v>20</v>
      </c>
    </row>
    <row r="47" customFormat="false" ht="16.5" hidden="false" customHeight="true" outlineLevel="0" collapsed="false">
      <c r="B47" s="32" t="s">
        <v>93</v>
      </c>
      <c r="C47" s="33" t="s">
        <v>25</v>
      </c>
      <c r="D47" s="32" t="s">
        <v>75</v>
      </c>
      <c r="E47" s="7"/>
      <c r="F47" s="11" t="n">
        <v>51</v>
      </c>
    </row>
    <row r="48" customFormat="false" ht="16.5" hidden="false" customHeight="true" outlineLevel="0" collapsed="false">
      <c r="B48" s="34" t="s">
        <v>94</v>
      </c>
      <c r="C48" s="35" t="s">
        <v>95</v>
      </c>
      <c r="D48" s="34" t="s">
        <v>65</v>
      </c>
      <c r="E48" s="12" t="n">
        <v>100</v>
      </c>
      <c r="F48" s="10"/>
    </row>
    <row r="49" customFormat="false" ht="16.5" hidden="false" customHeight="true" outlineLevel="0" collapsed="false">
      <c r="B49" s="36"/>
      <c r="C49" s="36"/>
      <c r="D49" s="36"/>
      <c r="E49" s="37"/>
      <c r="F49" s="37"/>
    </row>
    <row r="50" customFormat="false" ht="16.5" hidden="false" customHeight="true" outlineLevel="0" collapsed="false">
      <c r="B50" s="38"/>
      <c r="C50" s="38"/>
      <c r="D50" s="38"/>
      <c r="E50" s="39"/>
      <c r="F50" s="39"/>
    </row>
    <row r="51" customFormat="false" ht="16.5" hidden="false" customHeight="true" outlineLevel="0" collapsed="false">
      <c r="B51" s="36"/>
      <c r="C51" s="36"/>
      <c r="D51" s="36"/>
      <c r="E51" s="37"/>
      <c r="F51" s="37"/>
    </row>
    <row r="52" customFormat="false" ht="16.5" hidden="false" customHeight="true" outlineLevel="0" collapsed="false">
      <c r="B52" s="38"/>
      <c r="C52" s="38"/>
      <c r="D52" s="38"/>
      <c r="E52" s="39"/>
      <c r="F52" s="39"/>
    </row>
    <row r="53" customFormat="false" ht="16.5" hidden="false" customHeight="true" outlineLevel="0" collapsed="false">
      <c r="B53" s="36"/>
      <c r="C53" s="36"/>
      <c r="D53" s="36"/>
      <c r="E53" s="37"/>
      <c r="F53" s="37"/>
    </row>
    <row r="54" customFormat="false" ht="16.5" hidden="false" customHeight="true" outlineLevel="0" collapsed="false">
      <c r="B54" s="38"/>
      <c r="C54" s="38"/>
      <c r="D54" s="38"/>
      <c r="E54" s="39"/>
      <c r="F54" s="39"/>
    </row>
    <row r="55" customFormat="false" ht="16.5" hidden="false" customHeight="true" outlineLevel="0" collapsed="false">
      <c r="B55" s="36"/>
      <c r="C55" s="36"/>
      <c r="D55" s="36"/>
      <c r="E55" s="37"/>
      <c r="F55" s="37"/>
    </row>
    <row r="56" customFormat="false" ht="16.5" hidden="false" customHeight="true" outlineLevel="0" collapsed="false">
      <c r="B56" s="38"/>
      <c r="C56" s="38"/>
      <c r="D56" s="38"/>
      <c r="E56" s="39"/>
      <c r="F56" s="39"/>
    </row>
    <row r="57" customFormat="false" ht="16.5" hidden="false" customHeight="true" outlineLevel="0" collapsed="false">
      <c r="B57" s="36"/>
      <c r="C57" s="36"/>
      <c r="D57" s="36"/>
      <c r="E57" s="37"/>
      <c r="F57" s="37"/>
    </row>
    <row r="58" customFormat="false" ht="16.5" hidden="false" customHeight="true" outlineLevel="0" collapsed="false">
      <c r="B58" s="38"/>
      <c r="C58" s="38"/>
      <c r="D58" s="38"/>
      <c r="E58" s="39"/>
      <c r="F58" s="39"/>
    </row>
    <row r="59" customFormat="false" ht="16.5" hidden="false" customHeight="true" outlineLevel="0" collapsed="false">
      <c r="B59" s="36"/>
      <c r="C59" s="36"/>
      <c r="D59" s="36"/>
      <c r="E59" s="37"/>
      <c r="F59" s="37"/>
    </row>
    <row r="60" customFormat="false" ht="16.5" hidden="false" customHeight="true" outlineLevel="0" collapsed="false">
      <c r="B60" s="38"/>
      <c r="C60" s="38"/>
      <c r="D60" s="38"/>
      <c r="E60" s="39"/>
      <c r="F60" s="39"/>
    </row>
    <row r="61" customFormat="false" ht="16.5" hidden="false" customHeight="true" outlineLevel="0" collapsed="false">
      <c r="B61" s="36"/>
      <c r="C61" s="36"/>
      <c r="D61" s="36"/>
      <c r="E61" s="37"/>
      <c r="F61" s="37"/>
    </row>
    <row r="62" customFormat="false" ht="16.5" hidden="false" customHeight="true" outlineLevel="0" collapsed="false">
      <c r="B62" s="38"/>
      <c r="C62" s="38"/>
      <c r="D62" s="38"/>
      <c r="E62" s="39"/>
      <c r="F62" s="39"/>
    </row>
    <row r="63" customFormat="false" ht="16.5" hidden="false" customHeight="true" outlineLevel="0" collapsed="false">
      <c r="B63" s="36"/>
      <c r="C63" s="36"/>
      <c r="D63" s="36"/>
      <c r="E63" s="37"/>
      <c r="F63" s="37"/>
    </row>
    <row r="64" customFormat="false" ht="16.5" hidden="false" customHeight="true" outlineLevel="0" collapsed="false">
      <c r="B64" s="38"/>
      <c r="C64" s="38"/>
      <c r="D64" s="38"/>
      <c r="E64" s="39"/>
      <c r="F64" s="39"/>
    </row>
    <row r="65" customFormat="false" ht="16.5" hidden="false" customHeight="true" outlineLevel="0" collapsed="false">
      <c r="B65" s="36"/>
      <c r="C65" s="36"/>
      <c r="D65" s="36"/>
      <c r="E65" s="37"/>
      <c r="F65" s="37"/>
    </row>
    <row r="66" customFormat="false" ht="16.5" hidden="false" customHeight="true" outlineLevel="0" collapsed="false">
      <c r="B66" s="38"/>
      <c r="C66" s="38"/>
      <c r="D66" s="38"/>
      <c r="E66" s="39"/>
      <c r="F66" s="39"/>
    </row>
    <row r="67" customFormat="false" ht="16.5" hidden="false" customHeight="true" outlineLevel="0" collapsed="false">
      <c r="B67" s="36"/>
      <c r="C67" s="36"/>
      <c r="D67" s="36"/>
      <c r="E67" s="37"/>
      <c r="F67" s="37"/>
    </row>
    <row r="68" customFormat="false" ht="16.5" hidden="false" customHeight="true" outlineLevel="0" collapsed="false">
      <c r="B68" s="38"/>
      <c r="C68" s="38"/>
      <c r="D68" s="38"/>
      <c r="E68" s="39"/>
      <c r="F68" s="39"/>
    </row>
    <row r="69" customFormat="false" ht="16.5" hidden="false" customHeight="true" outlineLevel="0" collapsed="false">
      <c r="B69" s="36"/>
      <c r="C69" s="36"/>
      <c r="D69" s="36"/>
      <c r="E69" s="37"/>
      <c r="F69" s="37"/>
    </row>
    <row r="70" customFormat="false" ht="16.5" hidden="false" customHeight="true" outlineLevel="0" collapsed="false">
      <c r="B70" s="38"/>
      <c r="C70" s="38"/>
      <c r="D70" s="38"/>
      <c r="E70" s="39"/>
      <c r="F70" s="39"/>
    </row>
    <row r="71" customFormat="false" ht="16.5" hidden="false" customHeight="true" outlineLevel="0" collapsed="false">
      <c r="B71" s="36"/>
      <c r="C71" s="36"/>
      <c r="D71" s="36"/>
      <c r="E71" s="37"/>
      <c r="F71" s="37"/>
    </row>
    <row r="72" customFormat="false" ht="16.5" hidden="false" customHeight="true" outlineLevel="0" collapsed="false">
      <c r="B72" s="38"/>
      <c r="C72" s="38"/>
      <c r="D72" s="38"/>
      <c r="E72" s="39"/>
      <c r="F72" s="39"/>
    </row>
    <row r="73" customFormat="false" ht="16.5" hidden="false" customHeight="true" outlineLevel="0" collapsed="false">
      <c r="B73" s="36"/>
      <c r="C73" s="36"/>
      <c r="D73" s="36"/>
      <c r="E73" s="37"/>
      <c r="F73" s="37"/>
    </row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1">
    <mergeCell ref="B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2"/>
  </cols>
  <sheetData>
    <row r="1" customFormat="false" ht="21.75" hidden="false" customHeight="true" outlineLevel="0" collapsed="false">
      <c r="B1" s="24" t="s">
        <v>96</v>
      </c>
      <c r="C1" s="24"/>
      <c r="D1" s="24"/>
      <c r="E1" s="24"/>
      <c r="F1" s="24"/>
    </row>
    <row r="2" customFormat="false" ht="21.75" hidden="false" customHeight="true" outlineLevel="0" collapsed="false">
      <c r="B2" s="24"/>
      <c r="C2" s="24"/>
      <c r="D2" s="24"/>
      <c r="E2" s="24"/>
      <c r="F2" s="24"/>
    </row>
    <row r="3" customFormat="false" ht="16.5" hidden="false" customHeight="true" outlineLevel="0" collapsed="false">
      <c r="B3" s="25" t="s">
        <v>48</v>
      </c>
      <c r="C3" s="26" t="s">
        <v>49</v>
      </c>
      <c r="D3" s="27" t="s">
        <v>50</v>
      </c>
      <c r="E3" s="26" t="s">
        <v>51</v>
      </c>
      <c r="F3" s="28"/>
    </row>
    <row r="4" customFormat="false" ht="16.5" hidden="false" customHeight="true" outlineLevel="0" collapsed="false">
      <c r="B4" s="29" t="s">
        <v>97</v>
      </c>
      <c r="C4" s="30" t="n">
        <f aca="false">SUM(E7:E500)</f>
        <v>2149</v>
      </c>
      <c r="D4" s="31" t="n">
        <f aca="false">SUM(F7:F500)</f>
        <v>1737</v>
      </c>
      <c r="E4" s="30" t="n">
        <f aca="false">SUM(E7:E500)-SUM(F7:F500)-882</f>
        <v>-470</v>
      </c>
      <c r="F4" s="28"/>
    </row>
    <row r="5" customFormat="false" ht="16.5" hidden="false" customHeight="true" outlineLevel="0" collapsed="false"/>
    <row r="6" customFormat="false" ht="16.5" hidden="false" customHeight="true" outlineLevel="0" collapsed="false">
      <c r="B6" s="4" t="s">
        <v>53</v>
      </c>
      <c r="C6" s="4" t="s">
        <v>54</v>
      </c>
      <c r="D6" s="4" t="s">
        <v>18</v>
      </c>
      <c r="E6" s="4" t="s">
        <v>3</v>
      </c>
      <c r="F6" s="4" t="s">
        <v>55</v>
      </c>
    </row>
    <row r="7" customFormat="false" ht="16.5" hidden="false" customHeight="true" outlineLevel="0" collapsed="false">
      <c r="B7" s="32" t="s">
        <v>98</v>
      </c>
      <c r="C7" s="33" t="s">
        <v>61</v>
      </c>
      <c r="D7" s="32" t="s">
        <v>8</v>
      </c>
      <c r="E7" s="7"/>
      <c r="F7" s="11" t="n">
        <v>20</v>
      </c>
    </row>
    <row r="8" customFormat="false" ht="16.5" hidden="false" customHeight="true" outlineLevel="0" collapsed="false">
      <c r="B8" s="34" t="s">
        <v>98</v>
      </c>
      <c r="C8" s="35" t="s">
        <v>7</v>
      </c>
      <c r="D8" s="34" t="s">
        <v>67</v>
      </c>
      <c r="E8" s="12"/>
      <c r="F8" s="10" t="n">
        <v>20</v>
      </c>
    </row>
    <row r="9" customFormat="false" ht="16.5" hidden="false" customHeight="true" outlineLevel="0" collapsed="false">
      <c r="B9" s="32" t="s">
        <v>99</v>
      </c>
      <c r="C9" s="33" t="s">
        <v>6</v>
      </c>
      <c r="D9" s="32" t="s">
        <v>57</v>
      </c>
      <c r="E9" s="7"/>
      <c r="F9" s="11" t="n">
        <v>300</v>
      </c>
    </row>
    <row r="10" customFormat="false" ht="16.5" hidden="false" customHeight="true" outlineLevel="0" collapsed="false">
      <c r="B10" s="34" t="s">
        <v>100</v>
      </c>
      <c r="C10" s="35" t="s">
        <v>67</v>
      </c>
      <c r="D10" s="34" t="s">
        <v>67</v>
      </c>
      <c r="E10" s="12"/>
      <c r="F10" s="10" t="n">
        <v>10</v>
      </c>
    </row>
    <row r="11" customFormat="false" ht="16.5" hidden="false" customHeight="true" outlineLevel="0" collapsed="false">
      <c r="B11" s="32" t="s">
        <v>100</v>
      </c>
      <c r="C11" s="33" t="s">
        <v>101</v>
      </c>
      <c r="D11" s="32" t="s">
        <v>102</v>
      </c>
      <c r="E11" s="7"/>
      <c r="F11" s="11" t="n">
        <v>20</v>
      </c>
    </row>
    <row r="12" customFormat="false" ht="16.5" hidden="false" customHeight="true" outlineLevel="0" collapsed="false">
      <c r="B12" s="34" t="s">
        <v>103</v>
      </c>
      <c r="C12" s="35" t="s">
        <v>104</v>
      </c>
      <c r="D12" s="34" t="s">
        <v>105</v>
      </c>
      <c r="E12" s="12"/>
      <c r="F12" s="10" t="n">
        <v>130</v>
      </c>
    </row>
    <row r="13" customFormat="false" ht="16.5" hidden="false" customHeight="true" outlineLevel="0" collapsed="false">
      <c r="B13" s="32" t="s">
        <v>103</v>
      </c>
      <c r="C13" s="33" t="s">
        <v>61</v>
      </c>
      <c r="D13" s="32" t="s">
        <v>8</v>
      </c>
      <c r="E13" s="7"/>
      <c r="F13" s="11" t="n">
        <v>40</v>
      </c>
    </row>
    <row r="14" customFormat="false" ht="16.5" hidden="false" customHeight="true" outlineLevel="0" collapsed="false">
      <c r="B14" s="34" t="s">
        <v>103</v>
      </c>
      <c r="C14" s="35" t="s">
        <v>59</v>
      </c>
      <c r="D14" s="34" t="s">
        <v>60</v>
      </c>
      <c r="E14" s="12"/>
      <c r="F14" s="10" t="n">
        <v>50</v>
      </c>
    </row>
    <row r="15" customFormat="false" ht="16.5" hidden="false" customHeight="true" outlineLevel="0" collapsed="false">
      <c r="B15" s="32" t="s">
        <v>106</v>
      </c>
      <c r="C15" s="33" t="s">
        <v>67</v>
      </c>
      <c r="D15" s="32" t="s">
        <v>67</v>
      </c>
      <c r="E15" s="7"/>
      <c r="F15" s="11" t="n">
        <v>60</v>
      </c>
    </row>
    <row r="16" customFormat="false" ht="16.5" hidden="false" customHeight="true" outlineLevel="0" collapsed="false">
      <c r="B16" s="34" t="s">
        <v>106</v>
      </c>
      <c r="C16" s="35" t="s">
        <v>61</v>
      </c>
      <c r="D16" s="34" t="s">
        <v>8</v>
      </c>
      <c r="E16" s="12"/>
      <c r="F16" s="10" t="n">
        <v>100</v>
      </c>
    </row>
    <row r="17" customFormat="false" ht="16.5" hidden="false" customHeight="true" outlineLevel="0" collapsed="false">
      <c r="B17" s="32" t="s">
        <v>107</v>
      </c>
      <c r="C17" s="33" t="s">
        <v>61</v>
      </c>
      <c r="D17" s="32" t="s">
        <v>8</v>
      </c>
      <c r="E17" s="7"/>
      <c r="F17" s="11" t="n">
        <v>30</v>
      </c>
    </row>
    <row r="18" customFormat="false" ht="16.5" hidden="false" customHeight="true" outlineLevel="0" collapsed="false">
      <c r="B18" s="34" t="s">
        <v>108</v>
      </c>
      <c r="C18" s="35" t="s">
        <v>61</v>
      </c>
      <c r="D18" s="34" t="s">
        <v>8</v>
      </c>
      <c r="E18" s="12"/>
      <c r="F18" s="10" t="n">
        <v>20</v>
      </c>
    </row>
    <row r="19" customFormat="false" ht="16.5" hidden="false" customHeight="true" outlineLevel="0" collapsed="false">
      <c r="B19" s="32" t="s">
        <v>109</v>
      </c>
      <c r="C19" s="33" t="s">
        <v>70</v>
      </c>
      <c r="D19" s="32" t="s">
        <v>70</v>
      </c>
      <c r="E19" s="7"/>
      <c r="F19" s="11" t="n">
        <v>29</v>
      </c>
    </row>
    <row r="20" customFormat="false" ht="16.5" hidden="false" customHeight="true" outlineLevel="0" collapsed="false">
      <c r="B20" s="34" t="s">
        <v>109</v>
      </c>
      <c r="C20" s="35" t="s">
        <v>7</v>
      </c>
      <c r="D20" s="34" t="s">
        <v>67</v>
      </c>
      <c r="E20" s="12"/>
      <c r="F20" s="10" t="n">
        <v>20</v>
      </c>
    </row>
    <row r="21" customFormat="false" ht="16.5" hidden="false" customHeight="true" outlineLevel="0" collapsed="false">
      <c r="B21" s="32" t="s">
        <v>110</v>
      </c>
      <c r="C21" s="33" t="s">
        <v>61</v>
      </c>
      <c r="D21" s="32" t="s">
        <v>8</v>
      </c>
      <c r="E21" s="7"/>
      <c r="F21" s="11" t="n">
        <v>80</v>
      </c>
    </row>
    <row r="22" customFormat="false" ht="16.5" hidden="false" customHeight="true" outlineLevel="0" collapsed="false">
      <c r="B22" s="34" t="s">
        <v>111</v>
      </c>
      <c r="C22" s="35" t="s">
        <v>7</v>
      </c>
      <c r="D22" s="34" t="s">
        <v>67</v>
      </c>
      <c r="E22" s="12"/>
      <c r="F22" s="10" t="n">
        <v>20</v>
      </c>
    </row>
    <row r="23" customFormat="false" ht="16.5" hidden="false" customHeight="true" outlineLevel="0" collapsed="false">
      <c r="B23" s="32" t="s">
        <v>112</v>
      </c>
      <c r="C23" s="33" t="s">
        <v>113</v>
      </c>
      <c r="D23" s="32" t="s">
        <v>73</v>
      </c>
      <c r="E23" s="7" t="n">
        <v>50</v>
      </c>
      <c r="F23" s="11"/>
    </row>
    <row r="24" customFormat="false" ht="16.5" hidden="false" customHeight="true" outlineLevel="0" collapsed="false">
      <c r="B24" s="34" t="s">
        <v>112</v>
      </c>
      <c r="C24" s="35" t="s">
        <v>61</v>
      </c>
      <c r="D24" s="34" t="s">
        <v>8</v>
      </c>
      <c r="E24" s="12"/>
      <c r="F24" s="10" t="n">
        <v>37</v>
      </c>
    </row>
    <row r="25" customFormat="false" ht="16.5" hidden="false" customHeight="true" outlineLevel="0" collapsed="false">
      <c r="B25" s="32" t="s">
        <v>114</v>
      </c>
      <c r="C25" s="33" t="s">
        <v>95</v>
      </c>
      <c r="D25" s="32" t="s">
        <v>65</v>
      </c>
      <c r="E25" s="7" t="n">
        <v>100</v>
      </c>
      <c r="F25" s="11"/>
    </row>
    <row r="26" customFormat="false" ht="16.5" hidden="false" customHeight="true" outlineLevel="0" collapsed="false">
      <c r="B26" s="34" t="s">
        <v>114</v>
      </c>
      <c r="C26" s="35" t="s">
        <v>61</v>
      </c>
      <c r="D26" s="34" t="s">
        <v>8</v>
      </c>
      <c r="E26" s="12"/>
      <c r="F26" s="10" t="n">
        <v>90</v>
      </c>
    </row>
    <row r="27" customFormat="false" ht="16.5" hidden="false" customHeight="true" outlineLevel="0" collapsed="false">
      <c r="B27" s="32" t="s">
        <v>115</v>
      </c>
      <c r="C27" s="33" t="s">
        <v>116</v>
      </c>
      <c r="D27" s="32" t="s">
        <v>73</v>
      </c>
      <c r="E27" s="7" t="n">
        <v>500</v>
      </c>
      <c r="F27" s="11"/>
    </row>
    <row r="28" customFormat="false" ht="16.5" hidden="false" customHeight="true" outlineLevel="0" collapsed="false">
      <c r="B28" s="34" t="s">
        <v>115</v>
      </c>
      <c r="C28" s="35" t="s">
        <v>117</v>
      </c>
      <c r="D28" s="34" t="s">
        <v>102</v>
      </c>
      <c r="E28" s="12"/>
      <c r="F28" s="10" t="n">
        <v>140</v>
      </c>
    </row>
    <row r="29" customFormat="false" ht="16.5" hidden="false" customHeight="true" outlineLevel="0" collapsed="false">
      <c r="B29" s="32" t="s">
        <v>115</v>
      </c>
      <c r="C29" s="33" t="s">
        <v>67</v>
      </c>
      <c r="D29" s="32" t="s">
        <v>67</v>
      </c>
      <c r="E29" s="7"/>
      <c r="F29" s="11" t="n">
        <v>20</v>
      </c>
    </row>
    <row r="30" customFormat="false" ht="16.5" hidden="false" customHeight="true" outlineLevel="0" collapsed="false">
      <c r="B30" s="34" t="s">
        <v>115</v>
      </c>
      <c r="C30" s="35" t="s">
        <v>116</v>
      </c>
      <c r="D30" s="34" t="s">
        <v>73</v>
      </c>
      <c r="E30" s="12" t="n">
        <v>35</v>
      </c>
      <c r="F30" s="10"/>
    </row>
    <row r="31" customFormat="false" ht="16.5" hidden="false" customHeight="true" outlineLevel="0" collapsed="false">
      <c r="B31" s="32" t="s">
        <v>118</v>
      </c>
      <c r="C31" s="33" t="s">
        <v>119</v>
      </c>
      <c r="D31" s="32" t="s">
        <v>102</v>
      </c>
      <c r="E31" s="7"/>
      <c r="F31" s="11" t="n">
        <v>115</v>
      </c>
    </row>
    <row r="32" customFormat="false" ht="16.5" hidden="false" customHeight="true" outlineLevel="0" collapsed="false">
      <c r="B32" s="34" t="s">
        <v>118</v>
      </c>
      <c r="C32" s="35" t="s">
        <v>120</v>
      </c>
      <c r="D32" s="34" t="s">
        <v>73</v>
      </c>
      <c r="E32" s="12" t="n">
        <v>300</v>
      </c>
      <c r="F32" s="10"/>
    </row>
    <row r="33" customFormat="false" ht="16.5" hidden="false" customHeight="true" outlineLevel="0" collapsed="false">
      <c r="B33" s="32" t="s">
        <v>121</v>
      </c>
      <c r="C33" s="33" t="s">
        <v>122</v>
      </c>
      <c r="D33" s="32" t="s">
        <v>73</v>
      </c>
      <c r="E33" s="7" t="n">
        <v>90</v>
      </c>
      <c r="F33" s="11"/>
    </row>
    <row r="34" customFormat="false" ht="16.5" hidden="false" customHeight="true" outlineLevel="0" collapsed="false">
      <c r="B34" s="34" t="s">
        <v>121</v>
      </c>
      <c r="C34" s="35" t="s">
        <v>123</v>
      </c>
      <c r="D34" s="34" t="s">
        <v>73</v>
      </c>
      <c r="E34" s="12" t="n">
        <v>74</v>
      </c>
      <c r="F34" s="10"/>
    </row>
    <row r="35" customFormat="false" ht="16.5" hidden="false" customHeight="true" outlineLevel="0" collapsed="false">
      <c r="B35" s="32" t="s">
        <v>121</v>
      </c>
      <c r="C35" s="33" t="s">
        <v>124</v>
      </c>
      <c r="D35" s="32" t="s">
        <v>102</v>
      </c>
      <c r="E35" s="7"/>
      <c r="F35" s="11" t="n">
        <v>271</v>
      </c>
    </row>
    <row r="36" customFormat="false" ht="16.5" hidden="false" customHeight="true" outlineLevel="0" collapsed="false">
      <c r="B36" s="34" t="s">
        <v>121</v>
      </c>
      <c r="C36" s="35" t="s">
        <v>61</v>
      </c>
      <c r="D36" s="34" t="s">
        <v>8</v>
      </c>
      <c r="E36" s="12"/>
      <c r="F36" s="10" t="n">
        <v>25</v>
      </c>
    </row>
    <row r="37" customFormat="false" ht="16.5" hidden="false" customHeight="true" outlineLevel="0" collapsed="false">
      <c r="B37" s="32" t="s">
        <v>125</v>
      </c>
      <c r="C37" s="33" t="s">
        <v>116</v>
      </c>
      <c r="D37" s="32" t="s">
        <v>102</v>
      </c>
      <c r="E37" s="7"/>
      <c r="F37" s="11" t="n">
        <v>10</v>
      </c>
    </row>
    <row r="38" customFormat="false" ht="16.5" hidden="false" customHeight="true" outlineLevel="0" collapsed="false">
      <c r="B38" s="34" t="s">
        <v>125</v>
      </c>
      <c r="C38" s="35" t="s">
        <v>7</v>
      </c>
      <c r="D38" s="34" t="s">
        <v>67</v>
      </c>
      <c r="E38" s="12"/>
      <c r="F38" s="10" t="n">
        <v>10</v>
      </c>
    </row>
    <row r="39" customFormat="false" ht="16.5" hidden="false" customHeight="true" outlineLevel="0" collapsed="false">
      <c r="B39" s="32" t="s">
        <v>126</v>
      </c>
      <c r="C39" s="33" t="s">
        <v>64</v>
      </c>
      <c r="D39" s="32" t="s">
        <v>65</v>
      </c>
      <c r="E39" s="7" t="n">
        <v>1000</v>
      </c>
      <c r="F39" s="11"/>
    </row>
    <row r="40" customFormat="false" ht="16.5" hidden="false" customHeight="true" outlineLevel="0" collapsed="false">
      <c r="B40" s="34" t="s">
        <v>127</v>
      </c>
      <c r="C40" s="35" t="s">
        <v>61</v>
      </c>
      <c r="D40" s="34" t="s">
        <v>8</v>
      </c>
      <c r="E40" s="12"/>
      <c r="F40" s="10" t="n">
        <v>50</v>
      </c>
    </row>
    <row r="41" customFormat="false" ht="16.5" hidden="false" customHeight="true" outlineLevel="0" collapsed="false">
      <c r="B41" s="32" t="s">
        <v>127</v>
      </c>
      <c r="C41" s="33" t="s">
        <v>61</v>
      </c>
      <c r="D41" s="32" t="s">
        <v>8</v>
      </c>
      <c r="E41" s="7"/>
      <c r="F41" s="11" t="n">
        <v>20</v>
      </c>
    </row>
    <row r="42" customFormat="false" ht="16.5" hidden="false" customHeight="true" outlineLevel="0" collapsed="false">
      <c r="B42" s="36"/>
      <c r="C42" s="36"/>
      <c r="D42" s="36"/>
      <c r="E42" s="37"/>
      <c r="F42" s="37"/>
    </row>
    <row r="43" customFormat="false" ht="16.5" hidden="false" customHeight="true" outlineLevel="0" collapsed="false">
      <c r="B43" s="38"/>
      <c r="C43" s="38"/>
      <c r="D43" s="38"/>
      <c r="E43" s="39"/>
      <c r="F43" s="39"/>
    </row>
    <row r="44" customFormat="false" ht="16.5" hidden="false" customHeight="true" outlineLevel="0" collapsed="false">
      <c r="B44" s="36"/>
      <c r="C44" s="36"/>
      <c r="D44" s="36"/>
      <c r="E44" s="37"/>
      <c r="F44" s="37"/>
    </row>
    <row r="45" customFormat="false" ht="16.5" hidden="false" customHeight="true" outlineLevel="0" collapsed="false">
      <c r="B45" s="38"/>
      <c r="C45" s="38"/>
      <c r="D45" s="38"/>
      <c r="E45" s="39"/>
      <c r="F45" s="39"/>
    </row>
    <row r="46" customFormat="false" ht="16.5" hidden="false" customHeight="true" outlineLevel="0" collapsed="false">
      <c r="B46" s="36"/>
      <c r="C46" s="36"/>
      <c r="D46" s="36"/>
      <c r="E46" s="37"/>
      <c r="F46" s="37"/>
    </row>
    <row r="47" customFormat="false" ht="16.5" hidden="false" customHeight="true" outlineLevel="0" collapsed="false">
      <c r="B47" s="38"/>
      <c r="C47" s="38"/>
      <c r="D47" s="38"/>
      <c r="E47" s="39"/>
      <c r="F47" s="39"/>
    </row>
    <row r="48" customFormat="false" ht="16.5" hidden="false" customHeight="true" outlineLevel="0" collapsed="false">
      <c r="B48" s="36"/>
      <c r="C48" s="36"/>
      <c r="D48" s="36"/>
      <c r="E48" s="37"/>
      <c r="F48" s="37"/>
    </row>
    <row r="49" customFormat="false" ht="16.5" hidden="false" customHeight="true" outlineLevel="0" collapsed="false">
      <c r="B49" s="38"/>
      <c r="C49" s="38"/>
      <c r="D49" s="38"/>
      <c r="E49" s="39"/>
      <c r="F49" s="39"/>
    </row>
    <row r="50" customFormat="false" ht="16.5" hidden="false" customHeight="true" outlineLevel="0" collapsed="false">
      <c r="B50" s="36"/>
      <c r="C50" s="36"/>
      <c r="D50" s="36"/>
      <c r="E50" s="37"/>
      <c r="F50" s="37"/>
    </row>
    <row r="51" customFormat="false" ht="16.5" hidden="false" customHeight="true" outlineLevel="0" collapsed="false">
      <c r="B51" s="38"/>
      <c r="C51" s="38"/>
      <c r="D51" s="38"/>
      <c r="E51" s="39"/>
      <c r="F51" s="39"/>
    </row>
    <row r="52" customFormat="false" ht="16.5" hidden="false" customHeight="true" outlineLevel="0" collapsed="false">
      <c r="B52" s="36"/>
      <c r="C52" s="36"/>
      <c r="D52" s="36"/>
      <c r="E52" s="37"/>
      <c r="F52" s="37"/>
    </row>
    <row r="53" customFormat="false" ht="16.5" hidden="false" customHeight="true" outlineLevel="0" collapsed="false">
      <c r="B53" s="38"/>
      <c r="C53" s="38"/>
      <c r="D53" s="38"/>
      <c r="E53" s="39"/>
      <c r="F53" s="39"/>
    </row>
    <row r="54" customFormat="false" ht="16.5" hidden="false" customHeight="true" outlineLevel="0" collapsed="false">
      <c r="B54" s="36"/>
      <c r="C54" s="36"/>
      <c r="D54" s="36"/>
      <c r="E54" s="37"/>
      <c r="F54" s="37"/>
    </row>
    <row r="55" customFormat="false" ht="16.5" hidden="false" customHeight="true" outlineLevel="0" collapsed="false">
      <c r="B55" s="38"/>
      <c r="C55" s="38"/>
      <c r="D55" s="38"/>
      <c r="E55" s="39"/>
      <c r="F55" s="39"/>
    </row>
    <row r="56" customFormat="false" ht="16.5" hidden="false" customHeight="true" outlineLevel="0" collapsed="false">
      <c r="B56" s="36"/>
      <c r="C56" s="36"/>
      <c r="D56" s="36"/>
      <c r="E56" s="37"/>
      <c r="F56" s="37"/>
    </row>
    <row r="57" customFormat="false" ht="16.5" hidden="false" customHeight="true" outlineLevel="0" collapsed="false">
      <c r="B57" s="38"/>
      <c r="C57" s="38"/>
      <c r="D57" s="38"/>
      <c r="E57" s="39"/>
      <c r="F57" s="39"/>
    </row>
    <row r="58" customFormat="false" ht="16.5" hidden="false" customHeight="true" outlineLevel="0" collapsed="false">
      <c r="B58" s="36"/>
      <c r="C58" s="36"/>
      <c r="D58" s="36"/>
      <c r="E58" s="37"/>
      <c r="F58" s="37"/>
    </row>
    <row r="59" customFormat="false" ht="16.5" hidden="false" customHeight="true" outlineLevel="0" collapsed="false">
      <c r="B59" s="38"/>
      <c r="C59" s="38"/>
      <c r="D59" s="38"/>
      <c r="E59" s="39"/>
      <c r="F59" s="39"/>
    </row>
    <row r="60" customFormat="false" ht="16.5" hidden="false" customHeight="true" outlineLevel="0" collapsed="false">
      <c r="B60" s="36"/>
      <c r="C60" s="36"/>
      <c r="D60" s="36"/>
      <c r="E60" s="37"/>
      <c r="F60" s="37"/>
    </row>
    <row r="61" customFormat="false" ht="16.5" hidden="false" customHeight="true" outlineLevel="0" collapsed="false">
      <c r="B61" s="38"/>
      <c r="C61" s="38"/>
      <c r="D61" s="38"/>
      <c r="E61" s="39"/>
      <c r="F61" s="39"/>
    </row>
    <row r="62" customFormat="false" ht="16.5" hidden="false" customHeight="true" outlineLevel="0" collapsed="false">
      <c r="B62" s="36"/>
      <c r="C62" s="36"/>
      <c r="D62" s="36"/>
      <c r="E62" s="37"/>
      <c r="F62" s="37"/>
    </row>
    <row r="63" customFormat="false" ht="16.5" hidden="false" customHeight="true" outlineLevel="0" collapsed="false">
      <c r="B63" s="38"/>
      <c r="C63" s="38"/>
      <c r="D63" s="38"/>
      <c r="E63" s="39"/>
      <c r="F63" s="39"/>
    </row>
    <row r="64" customFormat="false" ht="16.5" hidden="false" customHeight="true" outlineLevel="0" collapsed="false">
      <c r="B64" s="36"/>
      <c r="C64" s="36"/>
      <c r="D64" s="36"/>
      <c r="E64" s="37"/>
      <c r="F64" s="37"/>
    </row>
    <row r="65" customFormat="false" ht="16.5" hidden="false" customHeight="true" outlineLevel="0" collapsed="false">
      <c r="B65" s="38"/>
      <c r="C65" s="38"/>
      <c r="D65" s="38"/>
      <c r="E65" s="39"/>
      <c r="F65" s="39"/>
    </row>
    <row r="66" customFormat="false" ht="16.5" hidden="false" customHeight="true" outlineLevel="0" collapsed="false">
      <c r="B66" s="36"/>
      <c r="C66" s="36"/>
      <c r="D66" s="36"/>
      <c r="E66" s="37"/>
      <c r="F66" s="37"/>
    </row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1">
    <mergeCell ref="B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2"/>
  </cols>
  <sheetData>
    <row r="1" customFormat="false" ht="21.75" hidden="false" customHeight="true" outlineLevel="0" collapsed="false">
      <c r="B1" s="24" t="s">
        <v>128</v>
      </c>
      <c r="C1" s="24"/>
      <c r="D1" s="24"/>
      <c r="E1" s="24"/>
      <c r="F1" s="24"/>
    </row>
    <row r="2" customFormat="false" ht="21.75" hidden="false" customHeight="true" outlineLevel="0" collapsed="false">
      <c r="B2" s="24"/>
      <c r="C2" s="24"/>
      <c r="D2" s="24"/>
      <c r="E2" s="24"/>
      <c r="F2" s="24"/>
    </row>
    <row r="3" customFormat="false" ht="16.5" hidden="false" customHeight="true" outlineLevel="0" collapsed="false">
      <c r="B3" s="25" t="s">
        <v>48</v>
      </c>
      <c r="C3" s="26" t="s">
        <v>49</v>
      </c>
      <c r="D3" s="27" t="s">
        <v>50</v>
      </c>
      <c r="E3" s="26" t="s">
        <v>51</v>
      </c>
      <c r="F3" s="28"/>
    </row>
    <row r="4" customFormat="false" ht="16.5" hidden="false" customHeight="true" outlineLevel="0" collapsed="false">
      <c r="B4" s="29" t="s">
        <v>129</v>
      </c>
      <c r="C4" s="30" t="n">
        <f aca="false">SUM(E7:E500)</f>
        <v>2665</v>
      </c>
      <c r="D4" s="31" t="n">
        <f aca="false">SUM(F7:F500)</f>
        <v>3223</v>
      </c>
      <c r="E4" s="30" t="n">
        <f aca="false">SUM(E7:E500)-SUM(F7:F500)-764</f>
        <v>-1322</v>
      </c>
      <c r="F4" s="28"/>
    </row>
    <row r="5" customFormat="false" ht="16.5" hidden="false" customHeight="true" outlineLevel="0" collapsed="false"/>
    <row r="6" customFormat="false" ht="16.5" hidden="false" customHeight="true" outlineLevel="0" collapsed="false">
      <c r="B6" s="4" t="s">
        <v>53</v>
      </c>
      <c r="C6" s="4" t="s">
        <v>54</v>
      </c>
      <c r="D6" s="4" t="s">
        <v>18</v>
      </c>
      <c r="E6" s="4" t="s">
        <v>3</v>
      </c>
      <c r="F6" s="4" t="s">
        <v>55</v>
      </c>
    </row>
    <row r="7" customFormat="false" ht="16.5" hidden="false" customHeight="true" outlineLevel="0" collapsed="false">
      <c r="B7" s="32" t="s">
        <v>130</v>
      </c>
      <c r="C7" s="33" t="s">
        <v>131</v>
      </c>
      <c r="D7" s="32" t="s">
        <v>102</v>
      </c>
      <c r="E7" s="7"/>
      <c r="F7" s="11" t="n">
        <v>100</v>
      </c>
    </row>
    <row r="8" customFormat="false" ht="16.5" hidden="false" customHeight="true" outlineLevel="0" collapsed="false">
      <c r="B8" s="34" t="s">
        <v>130</v>
      </c>
      <c r="C8" s="35" t="s">
        <v>6</v>
      </c>
      <c r="D8" s="34" t="s">
        <v>57</v>
      </c>
      <c r="E8" s="12"/>
      <c r="F8" s="10" t="n">
        <v>100</v>
      </c>
    </row>
    <row r="9" customFormat="false" ht="16.5" hidden="false" customHeight="true" outlineLevel="0" collapsed="false">
      <c r="B9" s="32" t="s">
        <v>130</v>
      </c>
      <c r="C9" s="33" t="s">
        <v>61</v>
      </c>
      <c r="D9" s="32" t="s">
        <v>8</v>
      </c>
      <c r="E9" s="7"/>
      <c r="F9" s="11" t="n">
        <v>10</v>
      </c>
    </row>
    <row r="10" customFormat="false" ht="16.5" hidden="false" customHeight="true" outlineLevel="0" collapsed="false">
      <c r="B10" s="34" t="s">
        <v>130</v>
      </c>
      <c r="C10" s="35" t="s">
        <v>132</v>
      </c>
      <c r="D10" s="34" t="s">
        <v>7</v>
      </c>
      <c r="E10" s="12"/>
      <c r="F10" s="10" t="n">
        <v>700</v>
      </c>
    </row>
    <row r="11" customFormat="false" ht="16.5" hidden="false" customHeight="true" outlineLevel="0" collapsed="false">
      <c r="B11" s="32" t="s">
        <v>133</v>
      </c>
      <c r="C11" s="33" t="s">
        <v>64</v>
      </c>
      <c r="D11" s="32" t="s">
        <v>65</v>
      </c>
      <c r="E11" s="7" t="n">
        <v>500</v>
      </c>
      <c r="F11" s="11"/>
    </row>
    <row r="12" customFormat="false" ht="16.5" hidden="false" customHeight="true" outlineLevel="0" collapsed="false">
      <c r="B12" s="34" t="s">
        <v>133</v>
      </c>
      <c r="C12" s="35" t="s">
        <v>61</v>
      </c>
      <c r="D12" s="34" t="s">
        <v>8</v>
      </c>
      <c r="E12" s="12"/>
      <c r="F12" s="10" t="n">
        <v>60</v>
      </c>
    </row>
    <row r="13" customFormat="false" ht="16.5" hidden="false" customHeight="true" outlineLevel="0" collapsed="false">
      <c r="B13" s="32" t="s">
        <v>133</v>
      </c>
      <c r="C13" s="33" t="s">
        <v>134</v>
      </c>
      <c r="D13" s="32" t="s">
        <v>73</v>
      </c>
      <c r="E13" s="7" t="n">
        <v>50</v>
      </c>
      <c r="F13" s="11"/>
    </row>
    <row r="14" customFormat="false" ht="16.5" hidden="false" customHeight="true" outlineLevel="0" collapsed="false">
      <c r="B14" s="34" t="s">
        <v>135</v>
      </c>
      <c r="C14" s="35" t="s">
        <v>136</v>
      </c>
      <c r="D14" s="34" t="s">
        <v>8</v>
      </c>
      <c r="E14" s="12"/>
      <c r="F14" s="10" t="n">
        <v>80</v>
      </c>
    </row>
    <row r="15" customFormat="false" ht="16.5" hidden="false" customHeight="true" outlineLevel="0" collapsed="false">
      <c r="B15" s="32" t="s">
        <v>135</v>
      </c>
      <c r="C15" s="33" t="s">
        <v>136</v>
      </c>
      <c r="D15" s="32" t="s">
        <v>8</v>
      </c>
      <c r="E15" s="7"/>
      <c r="F15" s="11" t="n">
        <v>35</v>
      </c>
    </row>
    <row r="16" customFormat="false" ht="16.5" hidden="false" customHeight="true" outlineLevel="0" collapsed="false">
      <c r="B16" s="34" t="s">
        <v>135</v>
      </c>
      <c r="C16" s="35" t="s">
        <v>116</v>
      </c>
      <c r="D16" s="34" t="s">
        <v>73</v>
      </c>
      <c r="E16" s="12" t="n">
        <v>20</v>
      </c>
      <c r="F16" s="10"/>
    </row>
    <row r="17" customFormat="false" ht="16.5" hidden="false" customHeight="true" outlineLevel="0" collapsed="false">
      <c r="B17" s="32" t="s">
        <v>135</v>
      </c>
      <c r="C17" s="33" t="s">
        <v>64</v>
      </c>
      <c r="D17" s="32" t="s">
        <v>65</v>
      </c>
      <c r="E17" s="7" t="n">
        <v>500</v>
      </c>
      <c r="F17" s="11"/>
    </row>
    <row r="18" customFormat="false" ht="16.5" hidden="false" customHeight="true" outlineLevel="0" collapsed="false">
      <c r="B18" s="34" t="s">
        <v>135</v>
      </c>
      <c r="C18" s="35" t="s">
        <v>67</v>
      </c>
      <c r="D18" s="34" t="s">
        <v>67</v>
      </c>
      <c r="E18" s="12"/>
      <c r="F18" s="10" t="n">
        <v>40</v>
      </c>
    </row>
    <row r="19" customFormat="false" ht="16.5" hidden="false" customHeight="true" outlineLevel="0" collapsed="false">
      <c r="B19" s="32" t="s">
        <v>135</v>
      </c>
      <c r="C19" s="33" t="s">
        <v>132</v>
      </c>
      <c r="D19" s="32" t="s">
        <v>7</v>
      </c>
      <c r="E19" s="7"/>
      <c r="F19" s="11" t="n">
        <v>600</v>
      </c>
    </row>
    <row r="20" customFormat="false" ht="16.5" hidden="false" customHeight="true" outlineLevel="0" collapsed="false">
      <c r="B20" s="34" t="s">
        <v>137</v>
      </c>
      <c r="C20" s="35" t="s">
        <v>138</v>
      </c>
      <c r="D20" s="34" t="s">
        <v>73</v>
      </c>
      <c r="E20" s="12" t="n">
        <v>195</v>
      </c>
      <c r="F20" s="10"/>
    </row>
    <row r="21" customFormat="false" ht="16.5" hidden="false" customHeight="true" outlineLevel="0" collapsed="false">
      <c r="B21" s="32" t="s">
        <v>139</v>
      </c>
      <c r="C21" s="33" t="s">
        <v>61</v>
      </c>
      <c r="D21" s="32" t="s">
        <v>8</v>
      </c>
      <c r="E21" s="7"/>
      <c r="F21" s="11" t="n">
        <v>40</v>
      </c>
    </row>
    <row r="22" customFormat="false" ht="16.5" hidden="false" customHeight="true" outlineLevel="0" collapsed="false">
      <c r="B22" s="34" t="s">
        <v>140</v>
      </c>
      <c r="C22" s="35" t="s">
        <v>141</v>
      </c>
      <c r="D22" s="34" t="s">
        <v>8</v>
      </c>
      <c r="E22" s="12"/>
      <c r="F22" s="10" t="n">
        <v>15</v>
      </c>
    </row>
    <row r="23" customFormat="false" ht="16.5" hidden="false" customHeight="true" outlineLevel="0" collapsed="false">
      <c r="B23" s="32" t="s">
        <v>142</v>
      </c>
      <c r="C23" s="33" t="s">
        <v>61</v>
      </c>
      <c r="D23" s="32" t="s">
        <v>8</v>
      </c>
      <c r="E23" s="7"/>
      <c r="F23" s="11" t="n">
        <v>70</v>
      </c>
    </row>
    <row r="24" customFormat="false" ht="16.5" hidden="false" customHeight="true" outlineLevel="0" collapsed="false">
      <c r="B24" s="34" t="s">
        <v>143</v>
      </c>
      <c r="C24" s="35" t="s">
        <v>61</v>
      </c>
      <c r="D24" s="34" t="s">
        <v>8</v>
      </c>
      <c r="E24" s="12"/>
      <c r="F24" s="10" t="n">
        <v>70</v>
      </c>
    </row>
    <row r="25" customFormat="false" ht="16.5" hidden="false" customHeight="true" outlineLevel="0" collapsed="false">
      <c r="B25" s="32" t="s">
        <v>143</v>
      </c>
      <c r="C25" s="33" t="s">
        <v>144</v>
      </c>
      <c r="D25" s="32" t="s">
        <v>102</v>
      </c>
      <c r="E25" s="7"/>
      <c r="F25" s="11" t="n">
        <v>10</v>
      </c>
    </row>
    <row r="26" customFormat="false" ht="16.5" hidden="false" customHeight="true" outlineLevel="0" collapsed="false">
      <c r="B26" s="34" t="s">
        <v>145</v>
      </c>
      <c r="C26" s="35" t="s">
        <v>104</v>
      </c>
      <c r="D26" s="34" t="s">
        <v>105</v>
      </c>
      <c r="E26" s="12"/>
      <c r="F26" s="10" t="n">
        <v>98</v>
      </c>
    </row>
    <row r="27" customFormat="false" ht="16.5" hidden="false" customHeight="true" outlineLevel="0" collapsed="false">
      <c r="B27" s="32" t="s">
        <v>145</v>
      </c>
      <c r="C27" s="33" t="s">
        <v>64</v>
      </c>
      <c r="D27" s="32" t="s">
        <v>65</v>
      </c>
      <c r="E27" s="7" t="n">
        <v>1000</v>
      </c>
      <c r="F27" s="11"/>
    </row>
    <row r="28" customFormat="false" ht="16.5" hidden="false" customHeight="true" outlineLevel="0" collapsed="false">
      <c r="B28" s="34" t="s">
        <v>145</v>
      </c>
      <c r="C28" s="35" t="s">
        <v>25</v>
      </c>
      <c r="D28" s="34" t="s">
        <v>75</v>
      </c>
      <c r="E28" s="12"/>
      <c r="F28" s="10" t="n">
        <v>350</v>
      </c>
    </row>
    <row r="29" customFormat="false" ht="16.5" hidden="false" customHeight="true" outlineLevel="0" collapsed="false">
      <c r="B29" s="32" t="s">
        <v>146</v>
      </c>
      <c r="C29" s="33" t="s">
        <v>141</v>
      </c>
      <c r="D29" s="32" t="s">
        <v>8</v>
      </c>
      <c r="E29" s="7"/>
      <c r="F29" s="11" t="n">
        <v>10</v>
      </c>
    </row>
    <row r="30" customFormat="false" ht="16.5" hidden="false" customHeight="true" outlineLevel="0" collapsed="false">
      <c r="B30" s="34" t="s">
        <v>147</v>
      </c>
      <c r="C30" s="35" t="s">
        <v>61</v>
      </c>
      <c r="D30" s="34" t="s">
        <v>8</v>
      </c>
      <c r="E30" s="12"/>
      <c r="F30" s="10" t="n">
        <v>35</v>
      </c>
    </row>
    <row r="31" customFormat="false" ht="16.5" hidden="false" customHeight="true" outlineLevel="0" collapsed="false">
      <c r="B31" s="32" t="s">
        <v>147</v>
      </c>
      <c r="C31" s="33" t="s">
        <v>67</v>
      </c>
      <c r="D31" s="32" t="s">
        <v>67</v>
      </c>
      <c r="E31" s="7"/>
      <c r="F31" s="11" t="n">
        <v>10</v>
      </c>
    </row>
    <row r="32" customFormat="false" ht="16.5" hidden="false" customHeight="true" outlineLevel="0" collapsed="false">
      <c r="B32" s="34" t="s">
        <v>148</v>
      </c>
      <c r="C32" s="35" t="s">
        <v>149</v>
      </c>
      <c r="D32" s="34" t="s">
        <v>38</v>
      </c>
      <c r="E32" s="12"/>
      <c r="F32" s="10" t="n">
        <v>10</v>
      </c>
    </row>
    <row r="33" customFormat="false" ht="16.5" hidden="false" customHeight="true" outlineLevel="0" collapsed="false">
      <c r="B33" s="32" t="s">
        <v>150</v>
      </c>
      <c r="C33" s="33" t="s">
        <v>67</v>
      </c>
      <c r="D33" s="32" t="s">
        <v>67</v>
      </c>
      <c r="E33" s="7"/>
      <c r="F33" s="11" t="n">
        <v>20</v>
      </c>
    </row>
    <row r="34" customFormat="false" ht="16.5" hidden="false" customHeight="true" outlineLevel="0" collapsed="false">
      <c r="B34" s="34" t="s">
        <v>150</v>
      </c>
      <c r="C34" s="35" t="s">
        <v>67</v>
      </c>
      <c r="D34" s="34" t="s">
        <v>67</v>
      </c>
      <c r="E34" s="12"/>
      <c r="F34" s="10" t="n">
        <v>150</v>
      </c>
    </row>
    <row r="35" customFormat="false" ht="16.5" hidden="false" customHeight="true" outlineLevel="0" collapsed="false">
      <c r="B35" s="32" t="s">
        <v>150</v>
      </c>
      <c r="C35" s="33" t="s">
        <v>64</v>
      </c>
      <c r="D35" s="32" t="s">
        <v>65</v>
      </c>
      <c r="E35" s="7" t="n">
        <v>400</v>
      </c>
      <c r="F35" s="11"/>
    </row>
    <row r="36" customFormat="false" ht="16.5" hidden="false" customHeight="true" outlineLevel="0" collapsed="false">
      <c r="B36" s="34" t="s">
        <v>150</v>
      </c>
      <c r="C36" s="35" t="s">
        <v>67</v>
      </c>
      <c r="D36" s="34" t="s">
        <v>67</v>
      </c>
      <c r="E36" s="12"/>
      <c r="F36" s="10" t="n">
        <v>30</v>
      </c>
    </row>
    <row r="37" customFormat="false" ht="16.5" hidden="false" customHeight="true" outlineLevel="0" collapsed="false">
      <c r="B37" s="32" t="s">
        <v>150</v>
      </c>
      <c r="C37" s="33" t="s">
        <v>61</v>
      </c>
      <c r="D37" s="32" t="s">
        <v>8</v>
      </c>
      <c r="E37" s="7"/>
      <c r="F37" s="11" t="n">
        <v>20</v>
      </c>
    </row>
    <row r="38" customFormat="false" ht="16.5" hidden="false" customHeight="true" outlineLevel="0" collapsed="false">
      <c r="B38" s="34" t="s">
        <v>150</v>
      </c>
      <c r="C38" s="35" t="s">
        <v>82</v>
      </c>
      <c r="D38" s="34" t="s">
        <v>7</v>
      </c>
      <c r="E38" s="12"/>
      <c r="F38" s="10" t="n">
        <v>350</v>
      </c>
    </row>
    <row r="39" customFormat="false" ht="16.5" hidden="false" customHeight="true" outlineLevel="0" collapsed="false">
      <c r="B39" s="32" t="s">
        <v>150</v>
      </c>
      <c r="C39" s="33" t="s">
        <v>61</v>
      </c>
      <c r="D39" s="32" t="s">
        <v>8</v>
      </c>
      <c r="E39" s="7"/>
      <c r="F39" s="11" t="n">
        <v>15</v>
      </c>
    </row>
    <row r="40" customFormat="false" ht="16.5" hidden="false" customHeight="true" outlineLevel="0" collapsed="false">
      <c r="B40" s="34" t="s">
        <v>150</v>
      </c>
      <c r="C40" s="35" t="s">
        <v>61</v>
      </c>
      <c r="D40" s="34" t="s">
        <v>8</v>
      </c>
      <c r="E40" s="12"/>
      <c r="F40" s="10" t="n">
        <v>50</v>
      </c>
    </row>
    <row r="41" customFormat="false" ht="16.5" hidden="false" customHeight="true" outlineLevel="0" collapsed="false">
      <c r="B41" s="32" t="s">
        <v>150</v>
      </c>
      <c r="C41" s="33" t="s">
        <v>61</v>
      </c>
      <c r="D41" s="32" t="s">
        <v>8</v>
      </c>
      <c r="E41" s="7"/>
      <c r="F41" s="11" t="n">
        <v>40</v>
      </c>
    </row>
    <row r="42" customFormat="false" ht="16.5" hidden="false" customHeight="true" outlineLevel="0" collapsed="false">
      <c r="B42" s="34" t="s">
        <v>151</v>
      </c>
      <c r="C42" s="35" t="s">
        <v>61</v>
      </c>
      <c r="D42" s="34" t="s">
        <v>8</v>
      </c>
      <c r="E42" s="12"/>
      <c r="F42" s="10" t="n">
        <v>40</v>
      </c>
    </row>
    <row r="43" customFormat="false" ht="16.5" hidden="false" customHeight="true" outlineLevel="0" collapsed="false">
      <c r="B43" s="32" t="s">
        <v>151</v>
      </c>
      <c r="C43" s="33" t="s">
        <v>82</v>
      </c>
      <c r="D43" s="32" t="s">
        <v>7</v>
      </c>
      <c r="E43" s="7"/>
      <c r="F43" s="11" t="n">
        <v>65</v>
      </c>
    </row>
    <row r="44" customFormat="false" ht="16.5" hidden="false" customHeight="true" outlineLevel="0" collapsed="false">
      <c r="B44" s="36"/>
      <c r="C44" s="36"/>
      <c r="D44" s="36"/>
      <c r="E44" s="37"/>
      <c r="F44" s="37"/>
    </row>
    <row r="45" customFormat="false" ht="16.5" hidden="false" customHeight="true" outlineLevel="0" collapsed="false">
      <c r="B45" s="38"/>
      <c r="C45" s="38"/>
      <c r="D45" s="38"/>
      <c r="E45" s="39"/>
      <c r="F45" s="39"/>
    </row>
    <row r="46" customFormat="false" ht="16.5" hidden="false" customHeight="true" outlineLevel="0" collapsed="false">
      <c r="B46" s="36"/>
      <c r="C46" s="36"/>
      <c r="D46" s="36"/>
      <c r="E46" s="37"/>
      <c r="F46" s="37"/>
    </row>
    <row r="47" customFormat="false" ht="16.5" hidden="false" customHeight="true" outlineLevel="0" collapsed="false">
      <c r="B47" s="38"/>
      <c r="C47" s="38"/>
      <c r="D47" s="38"/>
      <c r="E47" s="39"/>
      <c r="F47" s="39"/>
    </row>
    <row r="48" customFormat="false" ht="16.5" hidden="false" customHeight="true" outlineLevel="0" collapsed="false">
      <c r="B48" s="36"/>
      <c r="C48" s="36"/>
      <c r="D48" s="36"/>
      <c r="E48" s="37"/>
      <c r="F48" s="37"/>
    </row>
    <row r="49" customFormat="false" ht="16.5" hidden="false" customHeight="true" outlineLevel="0" collapsed="false">
      <c r="B49" s="38"/>
      <c r="C49" s="38"/>
      <c r="D49" s="38"/>
      <c r="E49" s="39"/>
      <c r="F49" s="39"/>
    </row>
    <row r="50" customFormat="false" ht="16.5" hidden="false" customHeight="true" outlineLevel="0" collapsed="false">
      <c r="B50" s="36"/>
      <c r="C50" s="36"/>
      <c r="D50" s="36"/>
      <c r="E50" s="37"/>
      <c r="F50" s="37"/>
    </row>
    <row r="51" customFormat="false" ht="16.5" hidden="false" customHeight="true" outlineLevel="0" collapsed="false">
      <c r="B51" s="38"/>
      <c r="C51" s="38"/>
      <c r="D51" s="38"/>
      <c r="E51" s="39"/>
      <c r="F51" s="39"/>
    </row>
    <row r="52" customFormat="false" ht="16.5" hidden="false" customHeight="true" outlineLevel="0" collapsed="false">
      <c r="B52" s="36"/>
      <c r="C52" s="36"/>
      <c r="D52" s="36"/>
      <c r="E52" s="37"/>
      <c r="F52" s="37"/>
    </row>
    <row r="53" customFormat="false" ht="16.5" hidden="false" customHeight="true" outlineLevel="0" collapsed="false">
      <c r="B53" s="38"/>
      <c r="C53" s="38"/>
      <c r="D53" s="38"/>
      <c r="E53" s="39"/>
      <c r="F53" s="39"/>
    </row>
    <row r="54" customFormat="false" ht="16.5" hidden="false" customHeight="true" outlineLevel="0" collapsed="false">
      <c r="B54" s="36"/>
      <c r="C54" s="36"/>
      <c r="D54" s="36"/>
      <c r="E54" s="37"/>
      <c r="F54" s="37"/>
    </row>
    <row r="55" customFormat="false" ht="16.5" hidden="false" customHeight="true" outlineLevel="0" collapsed="false">
      <c r="B55" s="38"/>
      <c r="C55" s="38"/>
      <c r="D55" s="38"/>
      <c r="E55" s="39"/>
      <c r="F55" s="39"/>
    </row>
    <row r="56" customFormat="false" ht="16.5" hidden="false" customHeight="true" outlineLevel="0" collapsed="false">
      <c r="B56" s="36"/>
      <c r="C56" s="36"/>
      <c r="D56" s="36"/>
      <c r="E56" s="37"/>
      <c r="F56" s="37"/>
    </row>
    <row r="57" customFormat="false" ht="16.5" hidden="false" customHeight="true" outlineLevel="0" collapsed="false">
      <c r="B57" s="38"/>
      <c r="C57" s="38"/>
      <c r="D57" s="38"/>
      <c r="E57" s="39"/>
      <c r="F57" s="39"/>
    </row>
    <row r="58" customFormat="false" ht="16.5" hidden="false" customHeight="true" outlineLevel="0" collapsed="false">
      <c r="B58" s="36"/>
      <c r="C58" s="36"/>
      <c r="D58" s="36"/>
      <c r="E58" s="37"/>
      <c r="F58" s="37"/>
    </row>
    <row r="59" customFormat="false" ht="16.5" hidden="false" customHeight="true" outlineLevel="0" collapsed="false">
      <c r="B59" s="38"/>
      <c r="C59" s="38"/>
      <c r="D59" s="38"/>
      <c r="E59" s="39"/>
      <c r="F59" s="39"/>
    </row>
    <row r="60" customFormat="false" ht="16.5" hidden="false" customHeight="true" outlineLevel="0" collapsed="false">
      <c r="B60" s="36"/>
      <c r="C60" s="36"/>
      <c r="D60" s="36"/>
      <c r="E60" s="37"/>
      <c r="F60" s="37"/>
    </row>
    <row r="61" customFormat="false" ht="16.5" hidden="false" customHeight="true" outlineLevel="0" collapsed="false">
      <c r="B61" s="38"/>
      <c r="C61" s="38"/>
      <c r="D61" s="38"/>
      <c r="E61" s="39"/>
      <c r="F61" s="39"/>
    </row>
    <row r="62" customFormat="false" ht="16.5" hidden="false" customHeight="true" outlineLevel="0" collapsed="false">
      <c r="B62" s="36"/>
      <c r="C62" s="36"/>
      <c r="D62" s="36"/>
      <c r="E62" s="37"/>
      <c r="F62" s="37"/>
    </row>
    <row r="63" customFormat="false" ht="16.5" hidden="false" customHeight="true" outlineLevel="0" collapsed="false">
      <c r="B63" s="38"/>
      <c r="C63" s="38"/>
      <c r="D63" s="38"/>
      <c r="E63" s="39"/>
      <c r="F63" s="39"/>
    </row>
    <row r="64" customFormat="false" ht="16.5" hidden="false" customHeight="true" outlineLevel="0" collapsed="false">
      <c r="B64" s="36"/>
      <c r="C64" s="36"/>
      <c r="D64" s="36"/>
      <c r="E64" s="37"/>
      <c r="F64" s="37"/>
    </row>
    <row r="65" customFormat="false" ht="16.5" hidden="false" customHeight="true" outlineLevel="0" collapsed="false">
      <c r="B65" s="38"/>
      <c r="C65" s="38"/>
      <c r="D65" s="38"/>
      <c r="E65" s="39"/>
      <c r="F65" s="39"/>
    </row>
    <row r="66" customFormat="false" ht="16.5" hidden="false" customHeight="true" outlineLevel="0" collapsed="false">
      <c r="B66" s="36"/>
      <c r="C66" s="36"/>
      <c r="D66" s="36"/>
      <c r="E66" s="37"/>
      <c r="F66" s="37"/>
    </row>
    <row r="67" customFormat="false" ht="16.5" hidden="false" customHeight="true" outlineLevel="0" collapsed="false">
      <c r="B67" s="38"/>
      <c r="C67" s="38"/>
      <c r="D67" s="38"/>
      <c r="E67" s="39"/>
      <c r="F67" s="39"/>
    </row>
    <row r="68" customFormat="false" ht="16.5" hidden="false" customHeight="true" outlineLevel="0" collapsed="false">
      <c r="B68" s="36"/>
      <c r="C68" s="36"/>
      <c r="D68" s="36"/>
      <c r="E68" s="37"/>
      <c r="F68" s="37"/>
    </row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1">
    <mergeCell ref="B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2"/>
  </cols>
  <sheetData>
    <row r="1" customFormat="false" ht="21.75" hidden="false" customHeight="true" outlineLevel="0" collapsed="false">
      <c r="B1" s="24" t="s">
        <v>152</v>
      </c>
      <c r="C1" s="24"/>
      <c r="D1" s="24"/>
      <c r="E1" s="24"/>
      <c r="F1" s="24"/>
    </row>
    <row r="2" customFormat="false" ht="21.75" hidden="false" customHeight="true" outlineLevel="0" collapsed="false">
      <c r="B2" s="24"/>
      <c r="C2" s="24"/>
      <c r="D2" s="24"/>
      <c r="E2" s="24"/>
      <c r="F2" s="24"/>
    </row>
    <row r="3" customFormat="false" ht="16.5" hidden="false" customHeight="true" outlineLevel="0" collapsed="false">
      <c r="B3" s="25" t="s">
        <v>48</v>
      </c>
      <c r="C3" s="26" t="s">
        <v>49</v>
      </c>
      <c r="D3" s="27" t="s">
        <v>50</v>
      </c>
      <c r="E3" s="26" t="s">
        <v>51</v>
      </c>
      <c r="F3" s="28"/>
    </row>
    <row r="4" customFormat="false" ht="16.5" hidden="false" customHeight="true" outlineLevel="0" collapsed="false">
      <c r="B4" s="29" t="s">
        <v>153</v>
      </c>
      <c r="C4" s="30" t="n">
        <f aca="false">SUM(E7:E500)</f>
        <v>3060</v>
      </c>
      <c r="D4" s="31" t="n">
        <f aca="false">SUM(F7:F500)</f>
        <v>2827</v>
      </c>
      <c r="E4" s="30" t="n">
        <f aca="false">SUM(E7:E500)-SUM(F7:F500)-206</f>
        <v>27</v>
      </c>
      <c r="F4" s="28"/>
    </row>
    <row r="5" customFormat="false" ht="16.5" hidden="false" customHeight="true" outlineLevel="0" collapsed="false"/>
    <row r="6" customFormat="false" ht="16.5" hidden="false" customHeight="true" outlineLevel="0" collapsed="false">
      <c r="B6" s="4" t="s">
        <v>53</v>
      </c>
      <c r="C6" s="4" t="s">
        <v>54</v>
      </c>
      <c r="D6" s="4" t="s">
        <v>18</v>
      </c>
      <c r="E6" s="4" t="s">
        <v>3</v>
      </c>
      <c r="F6" s="4" t="s">
        <v>55</v>
      </c>
    </row>
    <row r="7" customFormat="false" ht="16.5" hidden="false" customHeight="true" outlineLevel="0" collapsed="false">
      <c r="B7" s="32" t="s">
        <v>154</v>
      </c>
      <c r="C7" s="33" t="s">
        <v>104</v>
      </c>
      <c r="D7" s="32" t="s">
        <v>105</v>
      </c>
      <c r="E7" s="7"/>
      <c r="F7" s="11" t="n">
        <v>205</v>
      </c>
    </row>
    <row r="8" customFormat="false" ht="16.5" hidden="false" customHeight="true" outlineLevel="0" collapsed="false">
      <c r="B8" s="34" t="s">
        <v>154</v>
      </c>
      <c r="C8" s="35" t="s">
        <v>64</v>
      </c>
      <c r="D8" s="34" t="s">
        <v>65</v>
      </c>
      <c r="E8" s="12" t="n">
        <v>500</v>
      </c>
      <c r="F8" s="10"/>
    </row>
    <row r="9" customFormat="false" ht="16.5" hidden="false" customHeight="true" outlineLevel="0" collapsed="false">
      <c r="B9" s="32" t="s">
        <v>154</v>
      </c>
      <c r="C9" s="33" t="s">
        <v>87</v>
      </c>
      <c r="D9" s="32" t="s">
        <v>65</v>
      </c>
      <c r="E9" s="7" t="n">
        <v>250</v>
      </c>
      <c r="F9" s="11"/>
    </row>
    <row r="10" customFormat="false" ht="16.5" hidden="false" customHeight="true" outlineLevel="0" collapsed="false">
      <c r="B10" s="34" t="s">
        <v>154</v>
      </c>
      <c r="C10" s="35" t="s">
        <v>67</v>
      </c>
      <c r="D10" s="34" t="s">
        <v>67</v>
      </c>
      <c r="E10" s="12"/>
      <c r="F10" s="10" t="n">
        <v>230</v>
      </c>
    </row>
    <row r="11" customFormat="false" ht="16.5" hidden="false" customHeight="true" outlineLevel="0" collapsed="false">
      <c r="B11" s="32" t="s">
        <v>154</v>
      </c>
      <c r="C11" s="33" t="s">
        <v>61</v>
      </c>
      <c r="D11" s="32" t="s">
        <v>8</v>
      </c>
      <c r="E11" s="7"/>
      <c r="F11" s="11" t="n">
        <v>40</v>
      </c>
    </row>
    <row r="12" customFormat="false" ht="16.5" hidden="false" customHeight="true" outlineLevel="0" collapsed="false">
      <c r="B12" s="34" t="s">
        <v>154</v>
      </c>
      <c r="C12" s="35" t="s">
        <v>70</v>
      </c>
      <c r="D12" s="34" t="s">
        <v>70</v>
      </c>
      <c r="E12" s="12"/>
      <c r="F12" s="10" t="n">
        <v>60</v>
      </c>
    </row>
    <row r="13" customFormat="false" ht="16.5" hidden="false" customHeight="true" outlineLevel="0" collapsed="false">
      <c r="B13" s="32" t="s">
        <v>154</v>
      </c>
      <c r="C13" s="33" t="s">
        <v>95</v>
      </c>
      <c r="D13" s="32" t="s">
        <v>65</v>
      </c>
      <c r="E13" s="7" t="n">
        <v>150</v>
      </c>
      <c r="F13" s="11"/>
    </row>
    <row r="14" customFormat="false" ht="16.5" hidden="false" customHeight="true" outlineLevel="0" collapsed="false">
      <c r="B14" s="34" t="s">
        <v>154</v>
      </c>
      <c r="C14" s="35" t="s">
        <v>6</v>
      </c>
      <c r="D14" s="34" t="s">
        <v>57</v>
      </c>
      <c r="E14" s="12"/>
      <c r="F14" s="10" t="n">
        <v>300</v>
      </c>
    </row>
    <row r="15" customFormat="false" ht="16.5" hidden="false" customHeight="true" outlineLevel="0" collapsed="false">
      <c r="B15" s="32" t="s">
        <v>154</v>
      </c>
      <c r="C15" s="33" t="s">
        <v>61</v>
      </c>
      <c r="D15" s="32" t="s">
        <v>8</v>
      </c>
      <c r="E15" s="7"/>
      <c r="F15" s="11" t="n">
        <v>20</v>
      </c>
    </row>
    <row r="16" customFormat="false" ht="16.5" hidden="false" customHeight="true" outlineLevel="0" collapsed="false">
      <c r="B16" s="34" t="s">
        <v>155</v>
      </c>
      <c r="C16" s="35" t="s">
        <v>156</v>
      </c>
      <c r="D16" s="34" t="s">
        <v>34</v>
      </c>
      <c r="E16" s="12"/>
      <c r="F16" s="10" t="n">
        <v>45</v>
      </c>
    </row>
    <row r="17" customFormat="false" ht="16.5" hidden="false" customHeight="true" outlineLevel="0" collapsed="false">
      <c r="B17" s="32" t="s">
        <v>155</v>
      </c>
      <c r="C17" s="33" t="s">
        <v>156</v>
      </c>
      <c r="D17" s="32" t="s">
        <v>34</v>
      </c>
      <c r="E17" s="7"/>
      <c r="F17" s="11" t="n">
        <v>20</v>
      </c>
    </row>
    <row r="18" customFormat="false" ht="16.5" hidden="false" customHeight="true" outlineLevel="0" collapsed="false">
      <c r="B18" s="34" t="s">
        <v>157</v>
      </c>
      <c r="C18" s="35" t="s">
        <v>67</v>
      </c>
      <c r="D18" s="34" t="s">
        <v>67</v>
      </c>
      <c r="E18" s="12"/>
      <c r="F18" s="10" t="n">
        <v>20</v>
      </c>
    </row>
    <row r="19" customFormat="false" ht="16.5" hidden="false" customHeight="true" outlineLevel="0" collapsed="false">
      <c r="B19" s="32" t="s">
        <v>157</v>
      </c>
      <c r="C19" s="33" t="s">
        <v>61</v>
      </c>
      <c r="D19" s="32" t="s">
        <v>8</v>
      </c>
      <c r="E19" s="7"/>
      <c r="F19" s="11" t="n">
        <v>40</v>
      </c>
    </row>
    <row r="20" customFormat="false" ht="16.5" hidden="false" customHeight="true" outlineLevel="0" collapsed="false">
      <c r="B20" s="34" t="s">
        <v>157</v>
      </c>
      <c r="C20" s="35" t="s">
        <v>104</v>
      </c>
      <c r="D20" s="34" t="s">
        <v>105</v>
      </c>
      <c r="E20" s="12"/>
      <c r="F20" s="10" t="n">
        <v>60</v>
      </c>
    </row>
    <row r="21" customFormat="false" ht="16.5" hidden="false" customHeight="true" outlineLevel="0" collapsed="false">
      <c r="B21" s="32" t="s">
        <v>158</v>
      </c>
      <c r="C21" s="33" t="s">
        <v>64</v>
      </c>
      <c r="D21" s="32" t="s">
        <v>65</v>
      </c>
      <c r="E21" s="7" t="n">
        <v>1000</v>
      </c>
      <c r="F21" s="11"/>
    </row>
    <row r="22" customFormat="false" ht="16.5" hidden="false" customHeight="true" outlineLevel="0" collapsed="false">
      <c r="B22" s="34" t="s">
        <v>158</v>
      </c>
      <c r="C22" s="35" t="s">
        <v>82</v>
      </c>
      <c r="D22" s="34" t="s">
        <v>7</v>
      </c>
      <c r="E22" s="12"/>
      <c r="F22" s="10" t="n">
        <v>580</v>
      </c>
    </row>
    <row r="23" customFormat="false" ht="16.5" hidden="false" customHeight="true" outlineLevel="0" collapsed="false">
      <c r="B23" s="32" t="s">
        <v>159</v>
      </c>
      <c r="C23" s="33" t="s">
        <v>61</v>
      </c>
      <c r="D23" s="32" t="s">
        <v>8</v>
      </c>
      <c r="E23" s="7"/>
      <c r="F23" s="11" t="n">
        <v>30</v>
      </c>
    </row>
    <row r="24" customFormat="false" ht="16.5" hidden="false" customHeight="true" outlineLevel="0" collapsed="false">
      <c r="B24" s="34" t="s">
        <v>160</v>
      </c>
      <c r="C24" s="35" t="s">
        <v>61</v>
      </c>
      <c r="D24" s="34" t="s">
        <v>8</v>
      </c>
      <c r="E24" s="12"/>
      <c r="F24" s="10" t="n">
        <v>60</v>
      </c>
    </row>
    <row r="25" customFormat="false" ht="16.5" hidden="false" customHeight="true" outlineLevel="0" collapsed="false">
      <c r="B25" s="32" t="s">
        <v>161</v>
      </c>
      <c r="C25" s="33" t="s">
        <v>61</v>
      </c>
      <c r="D25" s="32" t="s">
        <v>8</v>
      </c>
      <c r="E25" s="7"/>
      <c r="F25" s="11" t="n">
        <v>45</v>
      </c>
    </row>
    <row r="26" customFormat="false" ht="16.5" hidden="false" customHeight="true" outlineLevel="0" collapsed="false">
      <c r="B26" s="34" t="s">
        <v>162</v>
      </c>
      <c r="C26" s="35" t="s">
        <v>61</v>
      </c>
      <c r="D26" s="34" t="s">
        <v>8</v>
      </c>
      <c r="E26" s="12"/>
      <c r="F26" s="10" t="n">
        <v>48</v>
      </c>
    </row>
    <row r="27" customFormat="false" ht="16.5" hidden="false" customHeight="true" outlineLevel="0" collapsed="false">
      <c r="B27" s="32" t="s">
        <v>163</v>
      </c>
      <c r="C27" s="33" t="s">
        <v>164</v>
      </c>
      <c r="D27" s="32" t="s">
        <v>8</v>
      </c>
      <c r="E27" s="7"/>
      <c r="F27" s="11" t="n">
        <v>295</v>
      </c>
    </row>
    <row r="28" customFormat="false" ht="16.5" hidden="false" customHeight="true" outlineLevel="0" collapsed="false">
      <c r="B28" s="34" t="s">
        <v>165</v>
      </c>
      <c r="C28" s="35" t="s">
        <v>64</v>
      </c>
      <c r="D28" s="34" t="s">
        <v>65</v>
      </c>
      <c r="E28" s="12" t="n">
        <v>1000</v>
      </c>
      <c r="F28" s="10"/>
    </row>
    <row r="29" customFormat="false" ht="16.5" hidden="false" customHeight="true" outlineLevel="0" collapsed="false">
      <c r="B29" s="32" t="s">
        <v>165</v>
      </c>
      <c r="C29" s="33" t="s">
        <v>25</v>
      </c>
      <c r="D29" s="32" t="s">
        <v>75</v>
      </c>
      <c r="E29" s="7"/>
      <c r="F29" s="11" t="n">
        <v>349</v>
      </c>
    </row>
    <row r="30" customFormat="false" ht="16.5" hidden="false" customHeight="true" outlineLevel="0" collapsed="false">
      <c r="B30" s="34" t="s">
        <v>165</v>
      </c>
      <c r="C30" s="35" t="s">
        <v>166</v>
      </c>
      <c r="D30" s="34" t="s">
        <v>8</v>
      </c>
      <c r="E30" s="12"/>
      <c r="F30" s="10" t="n">
        <v>40</v>
      </c>
    </row>
    <row r="31" customFormat="false" ht="16.5" hidden="false" customHeight="true" outlineLevel="0" collapsed="false">
      <c r="B31" s="32" t="s">
        <v>165</v>
      </c>
      <c r="C31" s="33" t="s">
        <v>167</v>
      </c>
      <c r="D31" s="32" t="s">
        <v>73</v>
      </c>
      <c r="E31" s="7" t="n">
        <v>160</v>
      </c>
      <c r="F31" s="11"/>
    </row>
    <row r="32" customFormat="false" ht="16.5" hidden="false" customHeight="true" outlineLevel="0" collapsed="false">
      <c r="B32" s="34" t="s">
        <v>168</v>
      </c>
      <c r="C32" s="35" t="s">
        <v>59</v>
      </c>
      <c r="D32" s="34" t="s">
        <v>60</v>
      </c>
      <c r="E32" s="12"/>
      <c r="F32" s="10" t="n">
        <v>40</v>
      </c>
    </row>
    <row r="33" customFormat="false" ht="16.5" hidden="false" customHeight="true" outlineLevel="0" collapsed="false">
      <c r="B33" s="32" t="s">
        <v>168</v>
      </c>
      <c r="C33" s="33" t="s">
        <v>166</v>
      </c>
      <c r="D33" s="32" t="s">
        <v>8</v>
      </c>
      <c r="E33" s="7"/>
      <c r="F33" s="11" t="n">
        <v>30</v>
      </c>
    </row>
    <row r="34" customFormat="false" ht="16.5" hidden="false" customHeight="true" outlineLevel="0" collapsed="false">
      <c r="B34" s="34" t="s">
        <v>168</v>
      </c>
      <c r="C34" s="35" t="s">
        <v>67</v>
      </c>
      <c r="D34" s="34" t="s">
        <v>67</v>
      </c>
      <c r="E34" s="12"/>
      <c r="F34" s="10" t="n">
        <v>40</v>
      </c>
    </row>
    <row r="35" customFormat="false" ht="16.5" hidden="false" customHeight="true" outlineLevel="0" collapsed="false">
      <c r="B35" s="32" t="s">
        <v>168</v>
      </c>
      <c r="C35" s="33" t="s">
        <v>166</v>
      </c>
      <c r="D35" s="32" t="s">
        <v>8</v>
      </c>
      <c r="E35" s="7"/>
      <c r="F35" s="11" t="n">
        <v>80</v>
      </c>
    </row>
    <row r="36" customFormat="false" ht="16.5" hidden="false" customHeight="true" outlineLevel="0" collapsed="false">
      <c r="B36" s="34" t="s">
        <v>169</v>
      </c>
      <c r="C36" s="35" t="s">
        <v>61</v>
      </c>
      <c r="D36" s="34" t="s">
        <v>8</v>
      </c>
      <c r="E36" s="12"/>
      <c r="F36" s="10" t="n">
        <v>100</v>
      </c>
    </row>
    <row r="37" customFormat="false" ht="16.5" hidden="false" customHeight="true" outlineLevel="0" collapsed="false">
      <c r="B37" s="32" t="s">
        <v>169</v>
      </c>
      <c r="C37" s="33" t="s">
        <v>61</v>
      </c>
      <c r="D37" s="32" t="s">
        <v>8</v>
      </c>
      <c r="E37" s="7"/>
      <c r="F37" s="11" t="n">
        <v>50</v>
      </c>
    </row>
    <row r="38" customFormat="false" ht="16.5" hidden="false" customHeight="true" outlineLevel="0" collapsed="false">
      <c r="B38" s="36"/>
      <c r="C38" s="36"/>
      <c r="D38" s="36"/>
      <c r="E38" s="37"/>
      <c r="F38" s="37"/>
    </row>
    <row r="39" customFormat="false" ht="16.5" hidden="false" customHeight="true" outlineLevel="0" collapsed="false">
      <c r="B39" s="38"/>
      <c r="C39" s="38"/>
      <c r="D39" s="38"/>
      <c r="E39" s="39"/>
      <c r="F39" s="39"/>
    </row>
    <row r="40" customFormat="false" ht="16.5" hidden="false" customHeight="true" outlineLevel="0" collapsed="false">
      <c r="B40" s="36"/>
      <c r="C40" s="36"/>
      <c r="D40" s="36"/>
      <c r="E40" s="37"/>
      <c r="F40" s="37"/>
    </row>
    <row r="41" customFormat="false" ht="16.5" hidden="false" customHeight="true" outlineLevel="0" collapsed="false">
      <c r="B41" s="38"/>
      <c r="C41" s="38"/>
      <c r="D41" s="38"/>
      <c r="E41" s="39"/>
      <c r="F41" s="39"/>
    </row>
    <row r="42" customFormat="false" ht="16.5" hidden="false" customHeight="true" outlineLevel="0" collapsed="false">
      <c r="B42" s="36"/>
      <c r="C42" s="36"/>
      <c r="D42" s="36"/>
      <c r="E42" s="37"/>
      <c r="F42" s="37"/>
    </row>
    <row r="43" customFormat="false" ht="16.5" hidden="false" customHeight="true" outlineLevel="0" collapsed="false">
      <c r="B43" s="38"/>
      <c r="C43" s="38"/>
      <c r="D43" s="38"/>
      <c r="E43" s="39"/>
      <c r="F43" s="39"/>
    </row>
    <row r="44" customFormat="false" ht="16.5" hidden="false" customHeight="true" outlineLevel="0" collapsed="false">
      <c r="B44" s="36"/>
      <c r="C44" s="36"/>
      <c r="D44" s="36"/>
      <c r="E44" s="37"/>
      <c r="F44" s="37"/>
    </row>
    <row r="45" customFormat="false" ht="16.5" hidden="false" customHeight="true" outlineLevel="0" collapsed="false">
      <c r="B45" s="38"/>
      <c r="C45" s="38"/>
      <c r="D45" s="38"/>
      <c r="E45" s="39"/>
      <c r="F45" s="39"/>
    </row>
    <row r="46" customFormat="false" ht="16.5" hidden="false" customHeight="true" outlineLevel="0" collapsed="false">
      <c r="B46" s="36"/>
      <c r="C46" s="36"/>
      <c r="D46" s="36"/>
      <c r="E46" s="37"/>
      <c r="F46" s="37"/>
    </row>
    <row r="47" customFormat="false" ht="16.5" hidden="false" customHeight="true" outlineLevel="0" collapsed="false">
      <c r="B47" s="38"/>
      <c r="C47" s="38"/>
      <c r="D47" s="38"/>
      <c r="E47" s="39"/>
      <c r="F47" s="39"/>
    </row>
    <row r="48" customFormat="false" ht="16.5" hidden="false" customHeight="true" outlineLevel="0" collapsed="false">
      <c r="B48" s="36"/>
      <c r="C48" s="36"/>
      <c r="D48" s="36"/>
      <c r="E48" s="37"/>
      <c r="F48" s="37"/>
    </row>
    <row r="49" customFormat="false" ht="16.5" hidden="false" customHeight="true" outlineLevel="0" collapsed="false">
      <c r="B49" s="38"/>
      <c r="C49" s="38"/>
      <c r="D49" s="38"/>
      <c r="E49" s="39"/>
      <c r="F49" s="39"/>
    </row>
    <row r="50" customFormat="false" ht="16.5" hidden="false" customHeight="true" outlineLevel="0" collapsed="false">
      <c r="B50" s="36"/>
      <c r="C50" s="36"/>
      <c r="D50" s="36"/>
      <c r="E50" s="37"/>
      <c r="F50" s="37"/>
    </row>
    <row r="51" customFormat="false" ht="16.5" hidden="false" customHeight="true" outlineLevel="0" collapsed="false">
      <c r="B51" s="38"/>
      <c r="C51" s="38"/>
      <c r="D51" s="38"/>
      <c r="E51" s="39"/>
      <c r="F51" s="39"/>
    </row>
    <row r="52" customFormat="false" ht="16.5" hidden="false" customHeight="true" outlineLevel="0" collapsed="false">
      <c r="B52" s="36"/>
      <c r="C52" s="36"/>
      <c r="D52" s="36"/>
      <c r="E52" s="37"/>
      <c r="F52" s="37"/>
    </row>
    <row r="53" customFormat="false" ht="16.5" hidden="false" customHeight="true" outlineLevel="0" collapsed="false">
      <c r="B53" s="38"/>
      <c r="C53" s="38"/>
      <c r="D53" s="38"/>
      <c r="E53" s="39"/>
      <c r="F53" s="39"/>
    </row>
    <row r="54" customFormat="false" ht="16.5" hidden="false" customHeight="true" outlineLevel="0" collapsed="false">
      <c r="B54" s="36"/>
      <c r="C54" s="36"/>
      <c r="D54" s="36"/>
      <c r="E54" s="37"/>
      <c r="F54" s="37"/>
    </row>
    <row r="55" customFormat="false" ht="16.5" hidden="false" customHeight="true" outlineLevel="0" collapsed="false">
      <c r="B55" s="38"/>
      <c r="C55" s="38"/>
      <c r="D55" s="38"/>
      <c r="E55" s="39"/>
      <c r="F55" s="39"/>
    </row>
    <row r="56" customFormat="false" ht="16.5" hidden="false" customHeight="true" outlineLevel="0" collapsed="false">
      <c r="B56" s="36"/>
      <c r="C56" s="36"/>
      <c r="D56" s="36"/>
      <c r="E56" s="37"/>
      <c r="F56" s="37"/>
    </row>
    <row r="57" customFormat="false" ht="16.5" hidden="false" customHeight="true" outlineLevel="0" collapsed="false">
      <c r="B57" s="38"/>
      <c r="C57" s="38"/>
      <c r="D57" s="38"/>
      <c r="E57" s="39"/>
      <c r="F57" s="39"/>
    </row>
    <row r="58" customFormat="false" ht="16.5" hidden="false" customHeight="true" outlineLevel="0" collapsed="false">
      <c r="B58" s="36"/>
      <c r="C58" s="36"/>
      <c r="D58" s="36"/>
      <c r="E58" s="37"/>
      <c r="F58" s="37"/>
    </row>
    <row r="59" customFormat="false" ht="16.5" hidden="false" customHeight="true" outlineLevel="0" collapsed="false">
      <c r="B59" s="38"/>
      <c r="C59" s="38"/>
      <c r="D59" s="38"/>
      <c r="E59" s="39"/>
      <c r="F59" s="39"/>
    </row>
    <row r="60" customFormat="false" ht="16.5" hidden="false" customHeight="true" outlineLevel="0" collapsed="false">
      <c r="B60" s="36"/>
      <c r="C60" s="36"/>
      <c r="D60" s="36"/>
      <c r="E60" s="37"/>
      <c r="F60" s="37"/>
    </row>
    <row r="61" customFormat="false" ht="16.5" hidden="false" customHeight="true" outlineLevel="0" collapsed="false">
      <c r="B61" s="38"/>
      <c r="C61" s="38"/>
      <c r="D61" s="38"/>
      <c r="E61" s="39"/>
      <c r="F61" s="39"/>
    </row>
    <row r="62" customFormat="false" ht="16.5" hidden="false" customHeight="true" outlineLevel="0" collapsed="false">
      <c r="B62" s="36"/>
      <c r="C62" s="36"/>
      <c r="D62" s="36"/>
      <c r="E62" s="37"/>
      <c r="F62" s="37"/>
    </row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1">
    <mergeCell ref="B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2"/>
  </cols>
  <sheetData>
    <row r="1" customFormat="false" ht="21.75" hidden="false" customHeight="true" outlineLevel="0" collapsed="false">
      <c r="B1" s="24" t="s">
        <v>170</v>
      </c>
      <c r="C1" s="24"/>
      <c r="D1" s="24"/>
      <c r="E1" s="24"/>
      <c r="F1" s="24"/>
    </row>
    <row r="2" customFormat="false" ht="21.75" hidden="false" customHeight="true" outlineLevel="0" collapsed="false">
      <c r="B2" s="24"/>
      <c r="C2" s="24"/>
      <c r="D2" s="24"/>
      <c r="E2" s="24"/>
      <c r="F2" s="24"/>
    </row>
    <row r="3" customFormat="false" ht="16.5" hidden="false" customHeight="true" outlineLevel="0" collapsed="false">
      <c r="B3" s="25" t="s">
        <v>48</v>
      </c>
      <c r="C3" s="26" t="s">
        <v>49</v>
      </c>
      <c r="D3" s="27" t="s">
        <v>50</v>
      </c>
      <c r="E3" s="26" t="s">
        <v>51</v>
      </c>
      <c r="F3" s="28"/>
    </row>
    <row r="4" customFormat="false" ht="16.5" hidden="false" customHeight="true" outlineLevel="0" collapsed="false">
      <c r="B4" s="29" t="s">
        <v>171</v>
      </c>
      <c r="C4" s="30" t="n">
        <f aca="false">SUM(E7:E500)</f>
        <v>1295</v>
      </c>
      <c r="D4" s="31" t="n">
        <f aca="false">SUM(F7:F500)</f>
        <v>1630</v>
      </c>
      <c r="E4" s="30" t="n">
        <f aca="false">SUM(E7:E500)-SUM(F7:F500)-439</f>
        <v>-774</v>
      </c>
      <c r="F4" s="28"/>
    </row>
    <row r="5" customFormat="false" ht="16.5" hidden="false" customHeight="true" outlineLevel="0" collapsed="false"/>
    <row r="6" customFormat="false" ht="16.5" hidden="false" customHeight="true" outlineLevel="0" collapsed="false">
      <c r="B6" s="4" t="s">
        <v>53</v>
      </c>
      <c r="C6" s="4" t="s">
        <v>54</v>
      </c>
      <c r="D6" s="4" t="s">
        <v>18</v>
      </c>
      <c r="E6" s="4" t="s">
        <v>3</v>
      </c>
      <c r="F6" s="4" t="s">
        <v>55</v>
      </c>
    </row>
    <row r="7" customFormat="false" ht="16.5" hidden="false" customHeight="true" outlineLevel="0" collapsed="false">
      <c r="B7" s="32" t="s">
        <v>172</v>
      </c>
      <c r="C7" s="33" t="s">
        <v>61</v>
      </c>
      <c r="D7" s="32" t="s">
        <v>8</v>
      </c>
      <c r="E7" s="7"/>
      <c r="F7" s="11" t="n">
        <v>20</v>
      </c>
    </row>
    <row r="8" customFormat="false" ht="16.5" hidden="false" customHeight="true" outlineLevel="0" collapsed="false">
      <c r="B8" s="34" t="s">
        <v>172</v>
      </c>
      <c r="C8" s="35" t="s">
        <v>61</v>
      </c>
      <c r="D8" s="34" t="s">
        <v>8</v>
      </c>
      <c r="E8" s="12"/>
      <c r="F8" s="10" t="n">
        <v>40</v>
      </c>
    </row>
    <row r="9" customFormat="false" ht="16.5" hidden="false" customHeight="true" outlineLevel="0" collapsed="false">
      <c r="B9" s="32" t="s">
        <v>172</v>
      </c>
      <c r="C9" s="33" t="s">
        <v>61</v>
      </c>
      <c r="D9" s="32" t="s">
        <v>8</v>
      </c>
      <c r="E9" s="7"/>
      <c r="F9" s="11" t="n">
        <v>50</v>
      </c>
    </row>
    <row r="10" customFormat="false" ht="16.5" hidden="false" customHeight="true" outlineLevel="0" collapsed="false">
      <c r="B10" s="34" t="s">
        <v>172</v>
      </c>
      <c r="C10" s="35" t="s">
        <v>67</v>
      </c>
      <c r="D10" s="34" t="s">
        <v>67</v>
      </c>
      <c r="E10" s="12"/>
      <c r="F10" s="10" t="n">
        <v>40</v>
      </c>
    </row>
    <row r="11" customFormat="false" ht="16.5" hidden="false" customHeight="true" outlineLevel="0" collapsed="false">
      <c r="B11" s="32" t="s">
        <v>173</v>
      </c>
      <c r="C11" s="33" t="s">
        <v>67</v>
      </c>
      <c r="D11" s="32" t="s">
        <v>67</v>
      </c>
      <c r="E11" s="7"/>
      <c r="F11" s="11" t="n">
        <v>30</v>
      </c>
    </row>
    <row r="12" customFormat="false" ht="16.5" hidden="false" customHeight="true" outlineLevel="0" collapsed="false">
      <c r="B12" s="34" t="s">
        <v>173</v>
      </c>
      <c r="C12" s="35" t="s">
        <v>61</v>
      </c>
      <c r="D12" s="34" t="s">
        <v>8</v>
      </c>
      <c r="E12" s="12"/>
      <c r="F12" s="10" t="n">
        <v>50</v>
      </c>
    </row>
    <row r="13" customFormat="false" ht="16.5" hidden="false" customHeight="true" outlineLevel="0" collapsed="false">
      <c r="B13" s="32" t="s">
        <v>173</v>
      </c>
      <c r="C13" s="33" t="s">
        <v>6</v>
      </c>
      <c r="D13" s="32" t="s">
        <v>57</v>
      </c>
      <c r="E13" s="7"/>
      <c r="F13" s="11" t="n">
        <v>300</v>
      </c>
    </row>
    <row r="14" customFormat="false" ht="16.5" hidden="false" customHeight="true" outlineLevel="0" collapsed="false">
      <c r="B14" s="34" t="s">
        <v>173</v>
      </c>
      <c r="C14" s="35" t="s">
        <v>174</v>
      </c>
      <c r="D14" s="34" t="s">
        <v>73</v>
      </c>
      <c r="E14" s="12" t="n">
        <v>100</v>
      </c>
      <c r="F14" s="10"/>
    </row>
    <row r="15" customFormat="false" ht="16.5" hidden="false" customHeight="true" outlineLevel="0" collapsed="false">
      <c r="B15" s="32" t="s">
        <v>175</v>
      </c>
      <c r="C15" s="33" t="s">
        <v>61</v>
      </c>
      <c r="D15" s="32" t="s">
        <v>8</v>
      </c>
      <c r="E15" s="7"/>
      <c r="F15" s="11" t="n">
        <v>50</v>
      </c>
    </row>
    <row r="16" customFormat="false" ht="16.5" hidden="false" customHeight="true" outlineLevel="0" collapsed="false">
      <c r="B16" s="34" t="s">
        <v>176</v>
      </c>
      <c r="C16" s="35" t="s">
        <v>64</v>
      </c>
      <c r="D16" s="34" t="s">
        <v>65</v>
      </c>
      <c r="E16" s="12" t="n">
        <v>500</v>
      </c>
      <c r="F16" s="10"/>
    </row>
    <row r="17" customFormat="false" ht="16.5" hidden="false" customHeight="true" outlineLevel="0" collapsed="false">
      <c r="B17" s="32" t="s">
        <v>176</v>
      </c>
      <c r="C17" s="33" t="s">
        <v>61</v>
      </c>
      <c r="D17" s="32" t="s">
        <v>8</v>
      </c>
      <c r="E17" s="7"/>
      <c r="F17" s="11" t="n">
        <v>50</v>
      </c>
    </row>
    <row r="18" customFormat="false" ht="16.5" hidden="false" customHeight="true" outlineLevel="0" collapsed="false">
      <c r="B18" s="34" t="s">
        <v>177</v>
      </c>
      <c r="C18" s="35" t="s">
        <v>61</v>
      </c>
      <c r="D18" s="34" t="s">
        <v>8</v>
      </c>
      <c r="E18" s="12"/>
      <c r="F18" s="10" t="n">
        <v>50</v>
      </c>
    </row>
    <row r="19" customFormat="false" ht="16.5" hidden="false" customHeight="true" outlineLevel="0" collapsed="false">
      <c r="B19" s="32" t="s">
        <v>177</v>
      </c>
      <c r="C19" s="33" t="s">
        <v>178</v>
      </c>
      <c r="D19" s="32" t="s">
        <v>8</v>
      </c>
      <c r="E19" s="7"/>
      <c r="F19" s="11" t="n">
        <v>550</v>
      </c>
    </row>
    <row r="20" customFormat="false" ht="16.5" hidden="false" customHeight="true" outlineLevel="0" collapsed="false">
      <c r="B20" s="34" t="s">
        <v>179</v>
      </c>
      <c r="C20" s="35" t="s">
        <v>73</v>
      </c>
      <c r="D20" s="34" t="s">
        <v>73</v>
      </c>
      <c r="E20" s="12" t="n">
        <v>5</v>
      </c>
      <c r="F20" s="10"/>
    </row>
    <row r="21" customFormat="false" ht="16.5" hidden="false" customHeight="true" outlineLevel="0" collapsed="false">
      <c r="B21" s="32" t="s">
        <v>180</v>
      </c>
      <c r="C21" s="33" t="s">
        <v>64</v>
      </c>
      <c r="D21" s="32" t="s">
        <v>65</v>
      </c>
      <c r="E21" s="7" t="n">
        <v>500</v>
      </c>
      <c r="F21" s="11"/>
    </row>
    <row r="22" customFormat="false" ht="16.5" hidden="false" customHeight="true" outlineLevel="0" collapsed="false">
      <c r="B22" s="34" t="s">
        <v>181</v>
      </c>
      <c r="C22" s="35" t="s">
        <v>182</v>
      </c>
      <c r="D22" s="34" t="s">
        <v>102</v>
      </c>
      <c r="E22" s="12"/>
      <c r="F22" s="10" t="n">
        <v>40</v>
      </c>
    </row>
    <row r="23" customFormat="false" ht="16.5" hidden="false" customHeight="true" outlineLevel="0" collapsed="false">
      <c r="B23" s="32" t="s">
        <v>183</v>
      </c>
      <c r="C23" s="33" t="s">
        <v>184</v>
      </c>
      <c r="D23" s="32" t="s">
        <v>8</v>
      </c>
      <c r="E23" s="7"/>
      <c r="F23" s="11" t="n">
        <v>35</v>
      </c>
    </row>
    <row r="24" customFormat="false" ht="16.5" hidden="false" customHeight="true" outlineLevel="0" collapsed="false">
      <c r="B24" s="34" t="s">
        <v>183</v>
      </c>
      <c r="C24" s="35" t="s">
        <v>185</v>
      </c>
      <c r="D24" s="34" t="s">
        <v>8</v>
      </c>
      <c r="E24" s="12"/>
      <c r="F24" s="10" t="n">
        <v>35</v>
      </c>
    </row>
    <row r="25" customFormat="false" ht="16.5" hidden="false" customHeight="true" outlineLevel="0" collapsed="false">
      <c r="B25" s="32" t="s">
        <v>186</v>
      </c>
      <c r="C25" s="33" t="s">
        <v>73</v>
      </c>
      <c r="D25" s="32" t="s">
        <v>73</v>
      </c>
      <c r="E25" s="7" t="n">
        <v>100</v>
      </c>
      <c r="F25" s="11"/>
    </row>
    <row r="26" customFormat="false" ht="16.5" hidden="false" customHeight="true" outlineLevel="0" collapsed="false">
      <c r="B26" s="34" t="s">
        <v>186</v>
      </c>
      <c r="C26" s="35" t="s">
        <v>187</v>
      </c>
      <c r="D26" s="34" t="s">
        <v>8</v>
      </c>
      <c r="E26" s="12"/>
      <c r="F26" s="10" t="n">
        <v>20</v>
      </c>
    </row>
    <row r="27" customFormat="false" ht="16.5" hidden="false" customHeight="true" outlineLevel="0" collapsed="false">
      <c r="B27" s="32" t="s">
        <v>186</v>
      </c>
      <c r="C27" s="33" t="s">
        <v>166</v>
      </c>
      <c r="D27" s="32" t="s">
        <v>8</v>
      </c>
      <c r="E27" s="7"/>
      <c r="F27" s="11" t="n">
        <v>20</v>
      </c>
    </row>
    <row r="28" customFormat="false" ht="16.5" hidden="false" customHeight="true" outlineLevel="0" collapsed="false">
      <c r="B28" s="34" t="s">
        <v>186</v>
      </c>
      <c r="C28" s="35" t="s">
        <v>61</v>
      </c>
      <c r="D28" s="34" t="s">
        <v>8</v>
      </c>
      <c r="E28" s="12"/>
      <c r="F28" s="10" t="n">
        <v>10</v>
      </c>
    </row>
    <row r="29" customFormat="false" ht="16.5" hidden="false" customHeight="true" outlineLevel="0" collapsed="false">
      <c r="B29" s="32" t="s">
        <v>188</v>
      </c>
      <c r="C29" s="33" t="s">
        <v>189</v>
      </c>
      <c r="D29" s="32" t="s">
        <v>105</v>
      </c>
      <c r="E29" s="7"/>
      <c r="F29" s="11" t="n">
        <v>25</v>
      </c>
    </row>
    <row r="30" customFormat="false" ht="16.5" hidden="false" customHeight="true" outlineLevel="0" collapsed="false">
      <c r="B30" s="34" t="s">
        <v>188</v>
      </c>
      <c r="C30" s="35" t="s">
        <v>190</v>
      </c>
      <c r="D30" s="34" t="s">
        <v>34</v>
      </c>
      <c r="E30" s="12"/>
      <c r="F30" s="10" t="n">
        <v>10</v>
      </c>
    </row>
    <row r="31" customFormat="false" ht="16.5" hidden="false" customHeight="true" outlineLevel="0" collapsed="false">
      <c r="B31" s="32" t="s">
        <v>191</v>
      </c>
      <c r="C31" s="33" t="s">
        <v>82</v>
      </c>
      <c r="D31" s="32" t="s">
        <v>7</v>
      </c>
      <c r="E31" s="7"/>
      <c r="F31" s="11" t="n">
        <v>65</v>
      </c>
    </row>
    <row r="32" customFormat="false" ht="16.5" hidden="false" customHeight="true" outlineLevel="0" collapsed="false">
      <c r="B32" s="34" t="s">
        <v>192</v>
      </c>
      <c r="C32" s="35" t="s">
        <v>61</v>
      </c>
      <c r="D32" s="34" t="s">
        <v>8</v>
      </c>
      <c r="E32" s="12"/>
      <c r="F32" s="10" t="n">
        <v>50</v>
      </c>
    </row>
    <row r="33" customFormat="false" ht="16.5" hidden="false" customHeight="true" outlineLevel="0" collapsed="false">
      <c r="B33" s="32" t="s">
        <v>192</v>
      </c>
      <c r="C33" s="33" t="s">
        <v>73</v>
      </c>
      <c r="D33" s="32" t="s">
        <v>73</v>
      </c>
      <c r="E33" s="7" t="n">
        <v>90</v>
      </c>
      <c r="F33" s="11"/>
    </row>
    <row r="34" customFormat="false" ht="16.5" hidden="false" customHeight="true" outlineLevel="0" collapsed="false">
      <c r="B34" s="34" t="s">
        <v>193</v>
      </c>
      <c r="C34" s="35" t="s">
        <v>61</v>
      </c>
      <c r="D34" s="34" t="s">
        <v>8</v>
      </c>
      <c r="E34" s="12"/>
      <c r="F34" s="10" t="n">
        <v>90</v>
      </c>
    </row>
    <row r="35" customFormat="false" ht="16.5" hidden="false" customHeight="true" outlineLevel="0" collapsed="false">
      <c r="B35" s="36"/>
      <c r="C35" s="36"/>
      <c r="D35" s="36"/>
      <c r="E35" s="37"/>
      <c r="F35" s="37"/>
    </row>
    <row r="36" customFormat="false" ht="16.5" hidden="false" customHeight="true" outlineLevel="0" collapsed="false">
      <c r="B36" s="38"/>
      <c r="C36" s="38"/>
      <c r="D36" s="38"/>
      <c r="E36" s="39"/>
      <c r="F36" s="39"/>
    </row>
    <row r="37" customFormat="false" ht="16.5" hidden="false" customHeight="true" outlineLevel="0" collapsed="false">
      <c r="B37" s="36"/>
      <c r="C37" s="36"/>
      <c r="D37" s="36"/>
      <c r="E37" s="37"/>
      <c r="F37" s="37"/>
    </row>
    <row r="38" customFormat="false" ht="16.5" hidden="false" customHeight="true" outlineLevel="0" collapsed="false">
      <c r="B38" s="38"/>
      <c r="C38" s="38"/>
      <c r="D38" s="38"/>
      <c r="E38" s="39"/>
      <c r="F38" s="39"/>
    </row>
    <row r="39" customFormat="false" ht="16.5" hidden="false" customHeight="true" outlineLevel="0" collapsed="false">
      <c r="B39" s="36"/>
      <c r="C39" s="36"/>
      <c r="D39" s="36"/>
      <c r="E39" s="37"/>
      <c r="F39" s="37"/>
    </row>
    <row r="40" customFormat="false" ht="16.5" hidden="false" customHeight="true" outlineLevel="0" collapsed="false">
      <c r="B40" s="38"/>
      <c r="C40" s="38"/>
      <c r="D40" s="38"/>
      <c r="E40" s="39"/>
      <c r="F40" s="39"/>
    </row>
    <row r="41" customFormat="false" ht="16.5" hidden="false" customHeight="true" outlineLevel="0" collapsed="false">
      <c r="B41" s="36"/>
      <c r="C41" s="36"/>
      <c r="D41" s="36"/>
      <c r="E41" s="37"/>
      <c r="F41" s="37"/>
    </row>
    <row r="42" customFormat="false" ht="16.5" hidden="false" customHeight="true" outlineLevel="0" collapsed="false">
      <c r="B42" s="38"/>
      <c r="C42" s="38"/>
      <c r="D42" s="38"/>
      <c r="E42" s="39"/>
      <c r="F42" s="39"/>
    </row>
    <row r="43" customFormat="false" ht="16.5" hidden="false" customHeight="true" outlineLevel="0" collapsed="false">
      <c r="B43" s="36"/>
      <c r="C43" s="36"/>
      <c r="D43" s="36"/>
      <c r="E43" s="37"/>
      <c r="F43" s="37"/>
    </row>
    <row r="44" customFormat="false" ht="16.5" hidden="false" customHeight="true" outlineLevel="0" collapsed="false">
      <c r="B44" s="38"/>
      <c r="C44" s="38"/>
      <c r="D44" s="38"/>
      <c r="E44" s="39"/>
      <c r="F44" s="39"/>
    </row>
    <row r="45" customFormat="false" ht="16.5" hidden="false" customHeight="true" outlineLevel="0" collapsed="false">
      <c r="B45" s="36"/>
      <c r="C45" s="36"/>
      <c r="D45" s="36"/>
      <c r="E45" s="37"/>
      <c r="F45" s="37"/>
    </row>
    <row r="46" customFormat="false" ht="16.5" hidden="false" customHeight="true" outlineLevel="0" collapsed="false">
      <c r="B46" s="38"/>
      <c r="C46" s="38"/>
      <c r="D46" s="38"/>
      <c r="E46" s="39"/>
      <c r="F46" s="39"/>
    </row>
    <row r="47" customFormat="false" ht="16.5" hidden="false" customHeight="true" outlineLevel="0" collapsed="false">
      <c r="B47" s="36"/>
      <c r="C47" s="36"/>
      <c r="D47" s="36"/>
      <c r="E47" s="37"/>
      <c r="F47" s="37"/>
    </row>
    <row r="48" customFormat="false" ht="16.5" hidden="false" customHeight="true" outlineLevel="0" collapsed="false">
      <c r="B48" s="38"/>
      <c r="C48" s="38"/>
      <c r="D48" s="38"/>
      <c r="E48" s="39"/>
      <c r="F48" s="39"/>
    </row>
    <row r="49" customFormat="false" ht="16.5" hidden="false" customHeight="true" outlineLevel="0" collapsed="false">
      <c r="B49" s="36"/>
      <c r="C49" s="36"/>
      <c r="D49" s="36"/>
      <c r="E49" s="37"/>
      <c r="F49" s="37"/>
    </row>
    <row r="50" customFormat="false" ht="16.5" hidden="false" customHeight="true" outlineLevel="0" collapsed="false">
      <c r="B50" s="38"/>
      <c r="C50" s="38"/>
      <c r="D50" s="38"/>
      <c r="E50" s="39"/>
      <c r="F50" s="39"/>
    </row>
    <row r="51" customFormat="false" ht="16.5" hidden="false" customHeight="true" outlineLevel="0" collapsed="false">
      <c r="B51" s="36"/>
      <c r="C51" s="36"/>
      <c r="D51" s="36"/>
      <c r="E51" s="37"/>
      <c r="F51" s="37"/>
    </row>
    <row r="52" customFormat="false" ht="16.5" hidden="false" customHeight="true" outlineLevel="0" collapsed="false">
      <c r="B52" s="38"/>
      <c r="C52" s="38"/>
      <c r="D52" s="38"/>
      <c r="E52" s="39"/>
      <c r="F52" s="39"/>
    </row>
    <row r="53" customFormat="false" ht="16.5" hidden="false" customHeight="true" outlineLevel="0" collapsed="false">
      <c r="B53" s="36"/>
      <c r="C53" s="36"/>
      <c r="D53" s="36"/>
      <c r="E53" s="37"/>
      <c r="F53" s="37"/>
    </row>
    <row r="54" customFormat="false" ht="16.5" hidden="false" customHeight="true" outlineLevel="0" collapsed="false">
      <c r="B54" s="38"/>
      <c r="C54" s="38"/>
      <c r="D54" s="38"/>
      <c r="E54" s="39"/>
      <c r="F54" s="39"/>
    </row>
    <row r="55" customFormat="false" ht="16.5" hidden="false" customHeight="true" outlineLevel="0" collapsed="false">
      <c r="B55" s="36"/>
      <c r="C55" s="36"/>
      <c r="D55" s="36"/>
      <c r="E55" s="37"/>
      <c r="F55" s="37"/>
    </row>
    <row r="56" customFormat="false" ht="16.5" hidden="false" customHeight="true" outlineLevel="0" collapsed="false">
      <c r="B56" s="38"/>
      <c r="C56" s="38"/>
      <c r="D56" s="38"/>
      <c r="E56" s="39"/>
      <c r="F56" s="39"/>
    </row>
    <row r="57" customFormat="false" ht="16.5" hidden="false" customHeight="true" outlineLevel="0" collapsed="false">
      <c r="B57" s="36"/>
      <c r="C57" s="36"/>
      <c r="D57" s="36"/>
      <c r="E57" s="37"/>
      <c r="F57" s="37"/>
    </row>
    <row r="58" customFormat="false" ht="16.5" hidden="false" customHeight="true" outlineLevel="0" collapsed="false">
      <c r="B58" s="38"/>
      <c r="C58" s="38"/>
      <c r="D58" s="38"/>
      <c r="E58" s="39"/>
      <c r="F58" s="39"/>
    </row>
    <row r="59" customFormat="false" ht="16.5" hidden="false" customHeight="true" outlineLevel="0" collapsed="false">
      <c r="B59" s="36"/>
      <c r="C59" s="36"/>
      <c r="D59" s="36"/>
      <c r="E59" s="37"/>
      <c r="F59" s="37"/>
    </row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1">
    <mergeCell ref="B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2"/>
  </cols>
  <sheetData>
    <row r="1" customFormat="false" ht="21.75" hidden="false" customHeight="true" outlineLevel="0" collapsed="false">
      <c r="B1" s="24" t="s">
        <v>194</v>
      </c>
      <c r="C1" s="24"/>
      <c r="D1" s="24"/>
      <c r="E1" s="24"/>
      <c r="F1" s="24"/>
    </row>
    <row r="2" customFormat="false" ht="21.75" hidden="false" customHeight="true" outlineLevel="0" collapsed="false">
      <c r="B2" s="24"/>
      <c r="C2" s="24"/>
      <c r="D2" s="24"/>
      <c r="E2" s="24"/>
      <c r="F2" s="24"/>
    </row>
    <row r="3" customFormat="false" ht="16.5" hidden="false" customHeight="true" outlineLevel="0" collapsed="false">
      <c r="B3" s="25" t="s">
        <v>48</v>
      </c>
      <c r="C3" s="26" t="s">
        <v>49</v>
      </c>
      <c r="D3" s="27" t="s">
        <v>50</v>
      </c>
      <c r="E3" s="26" t="s">
        <v>51</v>
      </c>
      <c r="F3" s="28"/>
    </row>
    <row r="4" customFormat="false" ht="16.5" hidden="false" customHeight="true" outlineLevel="0" collapsed="false">
      <c r="B4" s="29" t="s">
        <v>195</v>
      </c>
      <c r="C4" s="30" t="n">
        <f aca="false">SUM(E7:E500)</f>
        <v>2230</v>
      </c>
      <c r="D4" s="31" t="n">
        <f aca="false">SUM(F7:F500)</f>
        <v>1884</v>
      </c>
      <c r="E4" s="30" t="n">
        <f aca="false">SUM(E7:E500)-SUM(F7:F500)-104</f>
        <v>242</v>
      </c>
      <c r="F4" s="28"/>
    </row>
    <row r="5" customFormat="false" ht="16.5" hidden="false" customHeight="true" outlineLevel="0" collapsed="false"/>
    <row r="6" customFormat="false" ht="16.5" hidden="false" customHeight="true" outlineLevel="0" collapsed="false">
      <c r="B6" s="4" t="s">
        <v>53</v>
      </c>
      <c r="C6" s="4" t="s">
        <v>54</v>
      </c>
      <c r="D6" s="4" t="s">
        <v>18</v>
      </c>
      <c r="E6" s="4" t="s">
        <v>3</v>
      </c>
      <c r="F6" s="4" t="s">
        <v>55</v>
      </c>
    </row>
    <row r="7" customFormat="false" ht="16.5" hidden="false" customHeight="true" outlineLevel="0" collapsed="false">
      <c r="B7" s="32" t="s">
        <v>196</v>
      </c>
      <c r="C7" s="33" t="s">
        <v>61</v>
      </c>
      <c r="D7" s="32" t="s">
        <v>8</v>
      </c>
      <c r="E7" s="7"/>
      <c r="F7" s="11" t="n">
        <v>30</v>
      </c>
    </row>
    <row r="8" customFormat="false" ht="16.5" hidden="false" customHeight="true" outlineLevel="0" collapsed="false">
      <c r="B8" s="34" t="s">
        <v>196</v>
      </c>
      <c r="C8" s="35" t="s">
        <v>6</v>
      </c>
      <c r="D8" s="34" t="s">
        <v>57</v>
      </c>
      <c r="E8" s="12"/>
      <c r="F8" s="10" t="n">
        <v>100</v>
      </c>
    </row>
    <row r="9" customFormat="false" ht="16.5" hidden="false" customHeight="true" outlineLevel="0" collapsed="false">
      <c r="B9" s="32" t="s">
        <v>197</v>
      </c>
      <c r="C9" s="33" t="s">
        <v>61</v>
      </c>
      <c r="D9" s="32" t="s">
        <v>8</v>
      </c>
      <c r="E9" s="7"/>
      <c r="F9" s="11" t="n">
        <v>30</v>
      </c>
    </row>
    <row r="10" customFormat="false" ht="16.5" hidden="false" customHeight="true" outlineLevel="0" collapsed="false">
      <c r="B10" s="34" t="s">
        <v>197</v>
      </c>
      <c r="C10" s="35" t="s">
        <v>198</v>
      </c>
      <c r="D10" s="34" t="s">
        <v>92</v>
      </c>
      <c r="E10" s="12"/>
      <c r="F10" s="10" t="n">
        <v>50</v>
      </c>
    </row>
    <row r="11" customFormat="false" ht="16.5" hidden="false" customHeight="true" outlineLevel="0" collapsed="false">
      <c r="B11" s="32" t="s">
        <v>197</v>
      </c>
      <c r="C11" s="33" t="s">
        <v>67</v>
      </c>
      <c r="D11" s="32" t="s">
        <v>67</v>
      </c>
      <c r="E11" s="7"/>
      <c r="F11" s="11" t="n">
        <v>10</v>
      </c>
    </row>
    <row r="12" customFormat="false" ht="16.5" hidden="false" customHeight="true" outlineLevel="0" collapsed="false">
      <c r="B12" s="34" t="s">
        <v>199</v>
      </c>
      <c r="C12" s="35" t="s">
        <v>64</v>
      </c>
      <c r="D12" s="34" t="s">
        <v>65</v>
      </c>
      <c r="E12" s="12" t="n">
        <v>1000</v>
      </c>
      <c r="F12" s="10"/>
    </row>
    <row r="13" customFormat="false" ht="16.5" hidden="false" customHeight="true" outlineLevel="0" collapsed="false">
      <c r="B13" s="32" t="s">
        <v>199</v>
      </c>
      <c r="C13" s="33" t="s">
        <v>6</v>
      </c>
      <c r="D13" s="32" t="s">
        <v>57</v>
      </c>
      <c r="E13" s="7"/>
      <c r="F13" s="11" t="n">
        <v>200</v>
      </c>
    </row>
    <row r="14" customFormat="false" ht="16.5" hidden="false" customHeight="true" outlineLevel="0" collapsed="false">
      <c r="B14" s="34" t="s">
        <v>199</v>
      </c>
      <c r="C14" s="35" t="s">
        <v>82</v>
      </c>
      <c r="D14" s="34" t="s">
        <v>7</v>
      </c>
      <c r="E14" s="12"/>
      <c r="F14" s="10" t="n">
        <v>553</v>
      </c>
    </row>
    <row r="15" customFormat="false" ht="16.5" hidden="false" customHeight="true" outlineLevel="0" collapsed="false">
      <c r="B15" s="32" t="s">
        <v>200</v>
      </c>
      <c r="C15" s="33" t="s">
        <v>95</v>
      </c>
      <c r="D15" s="32" t="s">
        <v>65</v>
      </c>
      <c r="E15" s="7" t="n">
        <v>100</v>
      </c>
      <c r="F15" s="11"/>
    </row>
    <row r="16" customFormat="false" ht="16.5" hidden="false" customHeight="true" outlineLevel="0" collapsed="false">
      <c r="B16" s="34" t="s">
        <v>200</v>
      </c>
      <c r="C16" s="35" t="s">
        <v>201</v>
      </c>
      <c r="D16" s="34" t="s">
        <v>8</v>
      </c>
      <c r="E16" s="12"/>
      <c r="F16" s="10" t="n">
        <v>10</v>
      </c>
    </row>
    <row r="17" customFormat="false" ht="16.5" hidden="false" customHeight="true" outlineLevel="0" collapsed="false">
      <c r="B17" s="32" t="s">
        <v>200</v>
      </c>
      <c r="C17" s="33" t="s">
        <v>67</v>
      </c>
      <c r="D17" s="32" t="s">
        <v>67</v>
      </c>
      <c r="E17" s="7"/>
      <c r="F17" s="11" t="n">
        <v>10</v>
      </c>
    </row>
    <row r="18" customFormat="false" ht="16.5" hidden="false" customHeight="true" outlineLevel="0" collapsed="false">
      <c r="B18" s="34" t="s">
        <v>200</v>
      </c>
      <c r="C18" s="35" t="s">
        <v>7</v>
      </c>
      <c r="D18" s="34" t="s">
        <v>67</v>
      </c>
      <c r="E18" s="12"/>
      <c r="F18" s="10" t="n">
        <v>50</v>
      </c>
    </row>
    <row r="19" customFormat="false" ht="16.5" hidden="false" customHeight="true" outlineLevel="0" collapsed="false">
      <c r="B19" s="32" t="s">
        <v>200</v>
      </c>
      <c r="C19" s="33" t="s">
        <v>8</v>
      </c>
      <c r="D19" s="32" t="s">
        <v>8</v>
      </c>
      <c r="E19" s="7"/>
      <c r="F19" s="11" t="n">
        <v>40</v>
      </c>
    </row>
    <row r="20" customFormat="false" ht="16.5" hidden="false" customHeight="true" outlineLevel="0" collapsed="false">
      <c r="B20" s="34" t="s">
        <v>200</v>
      </c>
      <c r="C20" s="35" t="s">
        <v>82</v>
      </c>
      <c r="D20" s="34" t="s">
        <v>7</v>
      </c>
      <c r="E20" s="12"/>
      <c r="F20" s="10" t="n">
        <v>45</v>
      </c>
    </row>
    <row r="21" customFormat="false" ht="16.5" hidden="false" customHeight="true" outlineLevel="0" collapsed="false">
      <c r="B21" s="32" t="s">
        <v>200</v>
      </c>
      <c r="C21" s="33" t="s">
        <v>64</v>
      </c>
      <c r="D21" s="32" t="s">
        <v>65</v>
      </c>
      <c r="E21" s="7" t="n">
        <v>200</v>
      </c>
      <c r="F21" s="11"/>
    </row>
    <row r="22" customFormat="false" ht="16.5" hidden="false" customHeight="true" outlineLevel="0" collapsed="false">
      <c r="B22" s="34" t="s">
        <v>200</v>
      </c>
      <c r="C22" s="35" t="s">
        <v>202</v>
      </c>
      <c r="D22" s="34" t="s">
        <v>67</v>
      </c>
      <c r="E22" s="12"/>
      <c r="F22" s="10" t="n">
        <v>11</v>
      </c>
    </row>
    <row r="23" customFormat="false" ht="16.5" hidden="false" customHeight="true" outlineLevel="0" collapsed="false">
      <c r="B23" s="32" t="s">
        <v>203</v>
      </c>
      <c r="C23" s="33" t="s">
        <v>204</v>
      </c>
      <c r="D23" s="32" t="s">
        <v>67</v>
      </c>
      <c r="E23" s="7"/>
      <c r="F23" s="11" t="n">
        <v>150</v>
      </c>
    </row>
    <row r="24" customFormat="false" ht="16.5" hidden="false" customHeight="true" outlineLevel="0" collapsed="false">
      <c r="B24" s="34" t="s">
        <v>203</v>
      </c>
      <c r="C24" s="35" t="s">
        <v>205</v>
      </c>
      <c r="D24" s="34" t="s">
        <v>34</v>
      </c>
      <c r="E24" s="12"/>
      <c r="F24" s="10" t="n">
        <v>55</v>
      </c>
    </row>
    <row r="25" customFormat="false" ht="16.5" hidden="false" customHeight="true" outlineLevel="0" collapsed="false">
      <c r="B25" s="32" t="s">
        <v>206</v>
      </c>
      <c r="C25" s="33" t="s">
        <v>67</v>
      </c>
      <c r="D25" s="32" t="s">
        <v>67</v>
      </c>
      <c r="E25" s="7"/>
      <c r="F25" s="11" t="n">
        <v>40</v>
      </c>
    </row>
    <row r="26" customFormat="false" ht="16.5" hidden="false" customHeight="true" outlineLevel="0" collapsed="false">
      <c r="B26" s="34" t="s">
        <v>206</v>
      </c>
      <c r="C26" s="35" t="s">
        <v>207</v>
      </c>
      <c r="D26" s="34" t="s">
        <v>73</v>
      </c>
      <c r="E26" s="12" t="n">
        <v>150</v>
      </c>
      <c r="F26" s="10"/>
    </row>
    <row r="27" customFormat="false" ht="16.5" hidden="false" customHeight="true" outlineLevel="0" collapsed="false">
      <c r="B27" s="32" t="s">
        <v>206</v>
      </c>
      <c r="C27" s="33" t="s">
        <v>116</v>
      </c>
      <c r="D27" s="32" t="s">
        <v>73</v>
      </c>
      <c r="E27" s="7" t="n">
        <v>100</v>
      </c>
      <c r="F27" s="11"/>
    </row>
    <row r="28" customFormat="false" ht="16.5" hidden="false" customHeight="true" outlineLevel="0" collapsed="false">
      <c r="B28" s="34" t="s">
        <v>206</v>
      </c>
      <c r="C28" s="35" t="s">
        <v>208</v>
      </c>
      <c r="D28" s="34" t="s">
        <v>73</v>
      </c>
      <c r="E28" s="12" t="n">
        <v>160</v>
      </c>
      <c r="F28" s="10"/>
    </row>
    <row r="29" customFormat="false" ht="16.5" hidden="false" customHeight="true" outlineLevel="0" collapsed="false">
      <c r="B29" s="32" t="s">
        <v>206</v>
      </c>
      <c r="C29" s="33" t="s">
        <v>209</v>
      </c>
      <c r="D29" s="32" t="s">
        <v>102</v>
      </c>
      <c r="E29" s="7"/>
      <c r="F29" s="11" t="n">
        <v>75</v>
      </c>
    </row>
    <row r="30" customFormat="false" ht="16.5" hidden="false" customHeight="true" outlineLevel="0" collapsed="false">
      <c r="B30" s="34" t="s">
        <v>210</v>
      </c>
      <c r="C30" s="35" t="s">
        <v>95</v>
      </c>
      <c r="D30" s="34" t="s">
        <v>65</v>
      </c>
      <c r="E30" s="12" t="n">
        <v>50</v>
      </c>
      <c r="F30" s="10"/>
    </row>
    <row r="31" customFormat="false" ht="16.5" hidden="false" customHeight="true" outlineLevel="0" collapsed="false">
      <c r="B31" s="32" t="s">
        <v>210</v>
      </c>
      <c r="C31" s="33" t="s">
        <v>211</v>
      </c>
      <c r="D31" s="32" t="s">
        <v>92</v>
      </c>
      <c r="E31" s="7"/>
      <c r="F31" s="11" t="n">
        <v>90</v>
      </c>
    </row>
    <row r="32" customFormat="false" ht="16.5" hidden="false" customHeight="true" outlineLevel="0" collapsed="false">
      <c r="B32" s="34" t="s">
        <v>210</v>
      </c>
      <c r="C32" s="35" t="s">
        <v>104</v>
      </c>
      <c r="D32" s="34" t="s">
        <v>105</v>
      </c>
      <c r="E32" s="12"/>
      <c r="F32" s="10" t="n">
        <v>75</v>
      </c>
    </row>
    <row r="33" customFormat="false" ht="16.5" hidden="false" customHeight="true" outlineLevel="0" collapsed="false">
      <c r="B33" s="32" t="s">
        <v>210</v>
      </c>
      <c r="C33" s="33" t="s">
        <v>64</v>
      </c>
      <c r="D33" s="32" t="s">
        <v>65</v>
      </c>
      <c r="E33" s="7" t="n">
        <v>100</v>
      </c>
      <c r="F33" s="11"/>
    </row>
    <row r="34" customFormat="false" ht="16.5" hidden="false" customHeight="true" outlineLevel="0" collapsed="false">
      <c r="B34" s="34" t="s">
        <v>210</v>
      </c>
      <c r="C34" s="35" t="s">
        <v>70</v>
      </c>
      <c r="D34" s="34" t="s">
        <v>70</v>
      </c>
      <c r="E34" s="12"/>
      <c r="F34" s="10" t="n">
        <v>30</v>
      </c>
    </row>
    <row r="35" customFormat="false" ht="16.5" hidden="false" customHeight="true" outlineLevel="0" collapsed="false">
      <c r="B35" s="32" t="s">
        <v>210</v>
      </c>
      <c r="C35" s="33" t="s">
        <v>212</v>
      </c>
      <c r="D35" s="32" t="s">
        <v>65</v>
      </c>
      <c r="E35" s="7" t="n">
        <v>150</v>
      </c>
      <c r="F35" s="11"/>
    </row>
    <row r="36" customFormat="false" ht="16.5" hidden="false" customHeight="true" outlineLevel="0" collapsed="false">
      <c r="B36" s="34" t="s">
        <v>210</v>
      </c>
      <c r="C36" s="35" t="s">
        <v>213</v>
      </c>
      <c r="D36" s="34" t="s">
        <v>8</v>
      </c>
      <c r="E36" s="12"/>
      <c r="F36" s="10" t="n">
        <v>130</v>
      </c>
    </row>
    <row r="37" customFormat="false" ht="16.5" hidden="false" customHeight="true" outlineLevel="0" collapsed="false">
      <c r="B37" s="32" t="s">
        <v>210</v>
      </c>
      <c r="C37" s="33" t="s">
        <v>214</v>
      </c>
      <c r="D37" s="32" t="s">
        <v>73</v>
      </c>
      <c r="E37" s="7" t="n">
        <v>220</v>
      </c>
      <c r="F37" s="11"/>
    </row>
    <row r="38" customFormat="false" ht="16.5" hidden="false" customHeight="true" outlineLevel="0" collapsed="false">
      <c r="B38" s="34" t="s">
        <v>210</v>
      </c>
      <c r="C38" s="35" t="s">
        <v>116</v>
      </c>
      <c r="D38" s="34" t="s">
        <v>102</v>
      </c>
      <c r="E38" s="12"/>
      <c r="F38" s="10" t="n">
        <v>100</v>
      </c>
    </row>
    <row r="39" customFormat="false" ht="16.5" hidden="false" customHeight="true" outlineLevel="0" collapsed="false">
      <c r="B39" s="36"/>
      <c r="C39" s="36"/>
      <c r="D39" s="36"/>
      <c r="E39" s="37"/>
      <c r="F39" s="37"/>
    </row>
    <row r="40" customFormat="false" ht="16.5" hidden="false" customHeight="true" outlineLevel="0" collapsed="false">
      <c r="B40" s="38"/>
      <c r="C40" s="38"/>
      <c r="D40" s="38"/>
      <c r="E40" s="39"/>
      <c r="F40" s="39"/>
    </row>
    <row r="41" customFormat="false" ht="16.5" hidden="false" customHeight="true" outlineLevel="0" collapsed="false">
      <c r="B41" s="36"/>
      <c r="C41" s="36"/>
      <c r="D41" s="36"/>
      <c r="E41" s="37"/>
      <c r="F41" s="37"/>
    </row>
    <row r="42" customFormat="false" ht="16.5" hidden="false" customHeight="true" outlineLevel="0" collapsed="false">
      <c r="B42" s="38"/>
      <c r="C42" s="38"/>
      <c r="D42" s="38"/>
      <c r="E42" s="39"/>
      <c r="F42" s="39"/>
    </row>
    <row r="43" customFormat="false" ht="16.5" hidden="false" customHeight="true" outlineLevel="0" collapsed="false">
      <c r="B43" s="36"/>
      <c r="C43" s="36"/>
      <c r="D43" s="36"/>
      <c r="E43" s="37"/>
      <c r="F43" s="37"/>
    </row>
    <row r="44" customFormat="false" ht="16.5" hidden="false" customHeight="true" outlineLevel="0" collapsed="false">
      <c r="B44" s="38"/>
      <c r="C44" s="38"/>
      <c r="D44" s="38"/>
      <c r="E44" s="39"/>
      <c r="F44" s="39"/>
    </row>
    <row r="45" customFormat="false" ht="16.5" hidden="false" customHeight="true" outlineLevel="0" collapsed="false">
      <c r="B45" s="36"/>
      <c r="C45" s="36"/>
      <c r="D45" s="36"/>
      <c r="E45" s="37"/>
      <c r="F45" s="37"/>
    </row>
    <row r="46" customFormat="false" ht="16.5" hidden="false" customHeight="true" outlineLevel="0" collapsed="false">
      <c r="B46" s="38"/>
      <c r="C46" s="38"/>
      <c r="D46" s="38"/>
      <c r="E46" s="39"/>
      <c r="F46" s="39"/>
    </row>
    <row r="47" customFormat="false" ht="16.5" hidden="false" customHeight="true" outlineLevel="0" collapsed="false">
      <c r="B47" s="36"/>
      <c r="C47" s="36"/>
      <c r="D47" s="36"/>
      <c r="E47" s="37"/>
      <c r="F47" s="37"/>
    </row>
    <row r="48" customFormat="false" ht="16.5" hidden="false" customHeight="true" outlineLevel="0" collapsed="false">
      <c r="B48" s="38"/>
      <c r="C48" s="38"/>
      <c r="D48" s="38"/>
      <c r="E48" s="39"/>
      <c r="F48" s="39"/>
    </row>
    <row r="49" customFormat="false" ht="16.5" hidden="false" customHeight="true" outlineLevel="0" collapsed="false">
      <c r="B49" s="36"/>
      <c r="C49" s="36"/>
      <c r="D49" s="36"/>
      <c r="E49" s="37"/>
      <c r="F49" s="37"/>
    </row>
    <row r="50" customFormat="false" ht="16.5" hidden="false" customHeight="true" outlineLevel="0" collapsed="false">
      <c r="B50" s="38"/>
      <c r="C50" s="38"/>
      <c r="D50" s="38"/>
      <c r="E50" s="39"/>
      <c r="F50" s="39"/>
    </row>
    <row r="51" customFormat="false" ht="16.5" hidden="false" customHeight="true" outlineLevel="0" collapsed="false">
      <c r="B51" s="36"/>
      <c r="C51" s="36"/>
      <c r="D51" s="36"/>
      <c r="E51" s="37"/>
      <c r="F51" s="37"/>
    </row>
    <row r="52" customFormat="false" ht="16.5" hidden="false" customHeight="true" outlineLevel="0" collapsed="false">
      <c r="B52" s="38"/>
      <c r="C52" s="38"/>
      <c r="D52" s="38"/>
      <c r="E52" s="39"/>
      <c r="F52" s="39"/>
    </row>
    <row r="53" customFormat="false" ht="16.5" hidden="false" customHeight="true" outlineLevel="0" collapsed="false">
      <c r="B53" s="36"/>
      <c r="C53" s="36"/>
      <c r="D53" s="36"/>
      <c r="E53" s="37"/>
      <c r="F53" s="37"/>
    </row>
    <row r="54" customFormat="false" ht="16.5" hidden="false" customHeight="true" outlineLevel="0" collapsed="false">
      <c r="B54" s="38"/>
      <c r="C54" s="38"/>
      <c r="D54" s="38"/>
      <c r="E54" s="39"/>
      <c r="F54" s="39"/>
    </row>
    <row r="55" customFormat="false" ht="16.5" hidden="false" customHeight="true" outlineLevel="0" collapsed="false">
      <c r="B55" s="36"/>
      <c r="C55" s="36"/>
      <c r="D55" s="36"/>
      <c r="E55" s="37"/>
      <c r="F55" s="37"/>
    </row>
    <row r="56" customFormat="false" ht="16.5" hidden="false" customHeight="true" outlineLevel="0" collapsed="false">
      <c r="B56" s="38"/>
      <c r="C56" s="38"/>
      <c r="D56" s="38"/>
      <c r="E56" s="39"/>
      <c r="F56" s="39"/>
    </row>
    <row r="57" customFormat="false" ht="16.5" hidden="false" customHeight="true" outlineLevel="0" collapsed="false">
      <c r="B57" s="36"/>
      <c r="C57" s="36"/>
      <c r="D57" s="36"/>
      <c r="E57" s="37"/>
      <c r="F57" s="37"/>
    </row>
    <row r="58" customFormat="false" ht="16.5" hidden="false" customHeight="true" outlineLevel="0" collapsed="false">
      <c r="B58" s="38"/>
      <c r="C58" s="38"/>
      <c r="D58" s="38"/>
      <c r="E58" s="39"/>
      <c r="F58" s="39"/>
    </row>
    <row r="59" customFormat="false" ht="16.5" hidden="false" customHeight="true" outlineLevel="0" collapsed="false">
      <c r="B59" s="36"/>
      <c r="C59" s="36"/>
      <c r="D59" s="36"/>
      <c r="E59" s="37"/>
      <c r="F59" s="37"/>
    </row>
    <row r="60" customFormat="false" ht="16.5" hidden="false" customHeight="true" outlineLevel="0" collapsed="false">
      <c r="B60" s="38"/>
      <c r="C60" s="38"/>
      <c r="D60" s="38"/>
      <c r="E60" s="39"/>
      <c r="F60" s="39"/>
    </row>
    <row r="61" customFormat="false" ht="16.5" hidden="false" customHeight="true" outlineLevel="0" collapsed="false">
      <c r="B61" s="36"/>
      <c r="C61" s="36"/>
      <c r="D61" s="36"/>
      <c r="E61" s="37"/>
      <c r="F61" s="37"/>
    </row>
    <row r="62" customFormat="false" ht="16.5" hidden="false" customHeight="true" outlineLevel="0" collapsed="false">
      <c r="B62" s="38"/>
      <c r="C62" s="38"/>
      <c r="D62" s="38"/>
      <c r="E62" s="39"/>
      <c r="F62" s="39"/>
    </row>
    <row r="63" customFormat="false" ht="16.5" hidden="false" customHeight="true" outlineLevel="0" collapsed="false">
      <c r="B63" s="36"/>
      <c r="C63" s="36"/>
      <c r="D63" s="36"/>
      <c r="E63" s="37"/>
      <c r="F63" s="37"/>
    </row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1">
    <mergeCell ref="B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16"/>
    <col collapsed="false" customWidth="true" hidden="false" outlineLevel="0" max="8" min="8" style="1" width="2"/>
  </cols>
  <sheetData>
    <row r="1" customFormat="false" ht="16.5" hidden="false" customHeight="true" outlineLevel="0" collapsed="false">
      <c r="B1" s="24" t="s">
        <v>215</v>
      </c>
      <c r="C1" s="24"/>
      <c r="D1" s="24"/>
      <c r="E1" s="24"/>
      <c r="F1" s="24"/>
      <c r="G1" s="24"/>
    </row>
    <row r="2" customFormat="false" ht="16.5" hidden="false" customHeight="true" outlineLevel="0" collapsed="false">
      <c r="B2" s="24"/>
      <c r="C2" s="24"/>
      <c r="D2" s="24"/>
      <c r="E2" s="24"/>
      <c r="F2" s="24"/>
      <c r="G2" s="24"/>
    </row>
    <row r="3" customFormat="false" ht="16.5" hidden="false" customHeight="true" outlineLevel="0" collapsed="false">
      <c r="B3" s="25" t="s">
        <v>216</v>
      </c>
      <c r="C3" s="40" t="s">
        <v>217</v>
      </c>
      <c r="D3" s="26" t="s">
        <v>49</v>
      </c>
      <c r="E3" s="27" t="s">
        <v>218</v>
      </c>
      <c r="F3" s="26" t="s">
        <v>219</v>
      </c>
      <c r="G3" s="25" t="s">
        <v>220</v>
      </c>
    </row>
    <row r="4" customFormat="false" ht="16.5" hidden="false" customHeight="true" outlineLevel="0" collapsed="false">
      <c r="B4" s="29" t="s">
        <v>221</v>
      </c>
      <c r="C4" s="41" t="s">
        <v>222</v>
      </c>
      <c r="D4" s="30" t="n">
        <f aca="false">SUM(E22:E200)</f>
        <v>0</v>
      </c>
      <c r="E4" s="31" t="n">
        <f aca="false">SUM(F22:F200)</f>
        <v>0</v>
      </c>
      <c r="F4" s="30" t="n">
        <f aca="false">2500-SUM(F22:F200)</f>
        <v>2500</v>
      </c>
      <c r="G4" s="42" t="n">
        <f aca="false">SUM(E22:E200)-SUM(F22:F200)+450</f>
        <v>450</v>
      </c>
    </row>
    <row r="5" customFormat="false" ht="16.5" hidden="false" customHeight="true" outlineLevel="0" collapsed="false"/>
    <row r="6" customFormat="false" ht="16.5" hidden="false" customHeight="true" outlineLevel="0" collapsed="false">
      <c r="B6" s="3" t="s">
        <v>223</v>
      </c>
      <c r="C6" s="3"/>
      <c r="D6" s="3"/>
      <c r="E6" s="3"/>
      <c r="F6" s="3"/>
      <c r="G6" s="3"/>
    </row>
    <row r="7" customFormat="false" ht="16.5" hidden="false" customHeight="true" outlineLevel="0" collapsed="false">
      <c r="B7" s="4" t="s">
        <v>18</v>
      </c>
      <c r="C7" s="4" t="s">
        <v>19</v>
      </c>
      <c r="D7" s="4" t="s">
        <v>224</v>
      </c>
      <c r="E7" s="4" t="s">
        <v>225</v>
      </c>
      <c r="F7" s="4" t="s">
        <v>226</v>
      </c>
      <c r="G7" s="4" t="s">
        <v>227</v>
      </c>
    </row>
    <row r="8" customFormat="false" ht="16.5" hidden="false" customHeight="true" outlineLevel="0" collapsed="false">
      <c r="B8" s="5" t="s">
        <v>6</v>
      </c>
      <c r="C8" s="15" t="n">
        <v>300</v>
      </c>
      <c r="D8" s="11" t="n">
        <f aca="false">IFERROR(SUMIF($D$22:$D$200,B8,$F$22:$F$200),0)</f>
        <v>0</v>
      </c>
      <c r="E8" s="43" t="n">
        <f aca="false">C8-D8</f>
        <v>300</v>
      </c>
      <c r="F8" s="44" t="n">
        <f aca="false">IFERROR(D8/C8,0)</f>
        <v>0</v>
      </c>
      <c r="G8" s="32" t="str">
        <f aca="false">IF(D8&gt;C8,"OVER BUDGET",IF(D8/C8&gt;0.8,"Near Limit","On Track"))</f>
        <v>On Track</v>
      </c>
    </row>
    <row r="9" customFormat="false" ht="16.5" hidden="false" customHeight="true" outlineLevel="0" collapsed="false">
      <c r="B9" s="8" t="s">
        <v>25</v>
      </c>
      <c r="C9" s="18" t="n">
        <v>350</v>
      </c>
      <c r="D9" s="10" t="n">
        <f aca="false">IFERROR(SUMIF($D$22:$D$200,B9,$F$22:$F$200),0)</f>
        <v>0</v>
      </c>
      <c r="E9" s="45" t="n">
        <f aca="false">C9-D9</f>
        <v>350</v>
      </c>
      <c r="F9" s="46" t="n">
        <f aca="false">IFERROR(D9/C9,0)</f>
        <v>0</v>
      </c>
      <c r="G9" s="34" t="str">
        <f aca="false">IF(D9&gt;C9,"OVER BUDGET",IF(D9/C9&gt;0.8,"Near Limit","On Track"))</f>
        <v>On Track</v>
      </c>
    </row>
    <row r="10" customFormat="false" ht="16.5" hidden="false" customHeight="true" outlineLevel="0" collapsed="false">
      <c r="B10" s="5" t="s">
        <v>27</v>
      </c>
      <c r="C10" s="15" t="n">
        <v>400</v>
      </c>
      <c r="D10" s="11" t="n">
        <f aca="false">IFERROR(SUMIF($D$22:$D$200,B10,$F$22:$F$200),0)</f>
        <v>0</v>
      </c>
      <c r="E10" s="43" t="n">
        <f aca="false">C10-D10</f>
        <v>400</v>
      </c>
      <c r="F10" s="44" t="n">
        <f aca="false">IFERROR(D10/C10,0)</f>
        <v>0</v>
      </c>
      <c r="G10" s="32" t="str">
        <f aca="false">IF(D10&gt;C10,"OVER BUDGET",IF(D10/C10&gt;0.8,"Near Limit","On Track"))</f>
        <v>On Track</v>
      </c>
    </row>
    <row r="11" customFormat="false" ht="16.5" hidden="false" customHeight="true" outlineLevel="0" collapsed="false">
      <c r="B11" s="8" t="s">
        <v>8</v>
      </c>
      <c r="C11" s="18" t="n">
        <v>400</v>
      </c>
      <c r="D11" s="10" t="n">
        <f aca="false">IFERROR(SUMIF($D$22:$D$200,B11,$F$22:$F$200),0)</f>
        <v>0</v>
      </c>
      <c r="E11" s="45" t="n">
        <f aca="false">C11-D11</f>
        <v>400</v>
      </c>
      <c r="F11" s="46" t="n">
        <f aca="false">IFERROR(D11/C11,0)</f>
        <v>0</v>
      </c>
      <c r="G11" s="34" t="str">
        <f aca="false">IF(D11&gt;C11,"OVER BUDGET",IF(D11/C11&gt;0.8,"Near Limit","On Track"))</f>
        <v>On Track</v>
      </c>
    </row>
    <row r="12" customFormat="false" ht="16.5" hidden="false" customHeight="true" outlineLevel="0" collapsed="false">
      <c r="B12" s="5" t="s">
        <v>67</v>
      </c>
      <c r="C12" s="15" t="n">
        <v>150</v>
      </c>
      <c r="D12" s="11" t="n">
        <f aca="false">IFERROR(SUMIF($D$22:$D$200,B12,$F$22:$F$200),0)</f>
        <v>0</v>
      </c>
      <c r="E12" s="43" t="n">
        <f aca="false">C12-D12</f>
        <v>150</v>
      </c>
      <c r="F12" s="44" t="n">
        <f aca="false">IFERROR(D12/C12,0)</f>
        <v>0</v>
      </c>
      <c r="G12" s="32" t="str">
        <f aca="false">IF(D12&gt;C12,"OVER BUDGET",IF(D12/C12&gt;0.8,"Near Limit","On Track"))</f>
        <v>On Track</v>
      </c>
    </row>
    <row r="13" customFormat="false" ht="16.5" hidden="false" customHeight="true" outlineLevel="0" collapsed="false">
      <c r="B13" s="8" t="s">
        <v>34</v>
      </c>
      <c r="C13" s="18" t="n">
        <v>150</v>
      </c>
      <c r="D13" s="10" t="n">
        <f aca="false">IFERROR(SUMIF($D$22:$D$200,B13,$F$22:$F$200),0)</f>
        <v>0</v>
      </c>
      <c r="E13" s="45" t="n">
        <f aca="false">C13-D13</f>
        <v>150</v>
      </c>
      <c r="F13" s="46" t="n">
        <f aca="false">IFERROR(D13/C13,0)</f>
        <v>0</v>
      </c>
      <c r="G13" s="34" t="str">
        <f aca="false">IF(D13&gt;C13,"OVER BUDGET",IF(D13/C13&gt;0.8,"Near Limit","On Track"))</f>
        <v>On Track</v>
      </c>
    </row>
    <row r="14" customFormat="false" ht="16.5" hidden="false" customHeight="true" outlineLevel="0" collapsed="false">
      <c r="B14" s="5" t="s">
        <v>102</v>
      </c>
      <c r="C14" s="15" t="n">
        <v>150</v>
      </c>
      <c r="D14" s="11" t="n">
        <f aca="false">IFERROR(SUMIF($D$22:$D$200,B14,$F$22:$F$200),0)</f>
        <v>0</v>
      </c>
      <c r="E14" s="43" t="n">
        <f aca="false">C14-D14</f>
        <v>150</v>
      </c>
      <c r="F14" s="44" t="n">
        <f aca="false">IFERROR(D14/C14,0)</f>
        <v>0</v>
      </c>
      <c r="G14" s="32" t="str">
        <f aca="false">IF(D14&gt;C14,"OVER BUDGET",IF(D14/C14&gt;0.8,"Near Limit","On Track"))</f>
        <v>On Track</v>
      </c>
    </row>
    <row r="15" customFormat="false" ht="16.5" hidden="false" customHeight="true" outlineLevel="0" collapsed="false">
      <c r="B15" s="8" t="s">
        <v>38</v>
      </c>
      <c r="C15" s="18" t="n">
        <v>50</v>
      </c>
      <c r="D15" s="10" t="n">
        <f aca="false">IFERROR(SUMIF($D$22:$D$200,B15,$F$22:$F$200),0)</f>
        <v>0</v>
      </c>
      <c r="E15" s="45" t="n">
        <f aca="false">C15-D15</f>
        <v>50</v>
      </c>
      <c r="F15" s="46" t="n">
        <f aca="false">IFERROR(D15/C15,0)</f>
        <v>0</v>
      </c>
      <c r="G15" s="34" t="str">
        <f aca="false">IF(D15&gt;C15,"OVER BUDGET",IF(D15/C15&gt;0.8,"Near Limit","On Track"))</f>
        <v>On Track</v>
      </c>
    </row>
    <row r="16" customFormat="false" ht="16.5" hidden="false" customHeight="true" outlineLevel="0" collapsed="false">
      <c r="B16" s="5" t="s">
        <v>105</v>
      </c>
      <c r="C16" s="15" t="n">
        <v>200</v>
      </c>
      <c r="D16" s="11" t="n">
        <f aca="false">IFERROR(SUMIF($D$22:$D$200,B16,$F$22:$F$200),0)</f>
        <v>0</v>
      </c>
      <c r="E16" s="43" t="n">
        <f aca="false">C16-D16</f>
        <v>200</v>
      </c>
      <c r="F16" s="44" t="n">
        <f aca="false">IFERROR(D16/C16,0)</f>
        <v>0</v>
      </c>
      <c r="G16" s="32" t="str">
        <f aca="false">IF(D16&gt;C16,"OVER BUDGET",IF(D16/C16&gt;0.8,"Near Limit","On Track"))</f>
        <v>On Track</v>
      </c>
    </row>
    <row r="17" customFormat="false" ht="16.5" hidden="false" customHeight="true" outlineLevel="0" collapsed="false">
      <c r="B17" s="8" t="s">
        <v>228</v>
      </c>
      <c r="C17" s="18" t="n">
        <v>350</v>
      </c>
      <c r="D17" s="10" t="n">
        <f aca="false">IFERROR(SUMIF($D$22:$D$200,B17,$F$22:$F$200),0)</f>
        <v>0</v>
      </c>
      <c r="E17" s="45" t="n">
        <f aca="false">C17-D17</f>
        <v>350</v>
      </c>
      <c r="F17" s="46" t="n">
        <f aca="false">IFERROR(D17/C17,0)</f>
        <v>0</v>
      </c>
      <c r="G17" s="34" t="str">
        <f aca="false">IF(D17&gt;C17,"OVER BUDGET",IF(D17/C17&gt;0.8,"Near Limit","On Track"))</f>
        <v>On Track</v>
      </c>
    </row>
    <row r="18" customFormat="false" ht="16.5" hidden="false" customHeight="true" outlineLevel="0" collapsed="false">
      <c r="B18" s="4" t="s">
        <v>45</v>
      </c>
      <c r="C18" s="47" t="n">
        <f aca="false">SUM(C8:C17)</f>
        <v>2500</v>
      </c>
      <c r="D18" s="47" t="n">
        <f aca="false">SUM(D8:D17)</f>
        <v>0</v>
      </c>
      <c r="E18" s="47" t="n">
        <f aca="false">SUM(E8:E17)</f>
        <v>2500</v>
      </c>
      <c r="F18" s="28"/>
      <c r="G18" s="28"/>
    </row>
    <row r="19" customFormat="false" ht="16.5" hidden="false" customHeight="true" outlineLevel="0" collapsed="false"/>
    <row r="20" customFormat="false" ht="16.5" hidden="false" customHeight="true" outlineLevel="0" collapsed="false">
      <c r="B20" s="3" t="s">
        <v>229</v>
      </c>
      <c r="C20" s="3"/>
      <c r="D20" s="3"/>
      <c r="E20" s="3"/>
      <c r="F20" s="3"/>
      <c r="G20" s="3"/>
    </row>
    <row r="21" customFormat="false" ht="16.5" hidden="false" customHeight="true" outlineLevel="0" collapsed="false">
      <c r="B21" s="4" t="s">
        <v>53</v>
      </c>
      <c r="C21" s="4" t="s">
        <v>54</v>
      </c>
      <c r="D21" s="4" t="s">
        <v>18</v>
      </c>
      <c r="E21" s="4" t="s">
        <v>3</v>
      </c>
      <c r="F21" s="4" t="s">
        <v>55</v>
      </c>
      <c r="G21" s="4" t="s">
        <v>230</v>
      </c>
    </row>
    <row r="22" customFormat="false" ht="16.5" hidden="false" customHeight="true" outlineLevel="0" collapsed="false">
      <c r="B22" s="36"/>
      <c r="C22" s="48"/>
      <c r="D22" s="36"/>
      <c r="E22" s="37"/>
      <c r="F22" s="37"/>
      <c r="G22" s="36"/>
    </row>
    <row r="23" customFormat="false" ht="16.5" hidden="false" customHeight="true" outlineLevel="0" collapsed="false">
      <c r="B23" s="38"/>
      <c r="C23" s="49"/>
      <c r="D23" s="38"/>
      <c r="E23" s="39"/>
      <c r="F23" s="39"/>
      <c r="G23" s="38"/>
    </row>
    <row r="24" customFormat="false" ht="16.5" hidden="false" customHeight="true" outlineLevel="0" collapsed="false">
      <c r="B24" s="36"/>
      <c r="C24" s="48"/>
      <c r="D24" s="36"/>
      <c r="E24" s="37"/>
      <c r="F24" s="37"/>
      <c r="G24" s="36"/>
    </row>
    <row r="25" customFormat="false" ht="16.5" hidden="false" customHeight="true" outlineLevel="0" collapsed="false">
      <c r="B25" s="38"/>
      <c r="C25" s="49"/>
      <c r="D25" s="38"/>
      <c r="E25" s="39"/>
      <c r="F25" s="39"/>
      <c r="G25" s="38"/>
    </row>
    <row r="26" customFormat="false" ht="16.5" hidden="false" customHeight="true" outlineLevel="0" collapsed="false">
      <c r="B26" s="36"/>
      <c r="C26" s="48"/>
      <c r="D26" s="36"/>
      <c r="E26" s="37"/>
      <c r="F26" s="37"/>
      <c r="G26" s="36"/>
    </row>
    <row r="27" customFormat="false" ht="16.5" hidden="false" customHeight="true" outlineLevel="0" collapsed="false">
      <c r="B27" s="38"/>
      <c r="C27" s="49"/>
      <c r="D27" s="38"/>
      <c r="E27" s="39"/>
      <c r="F27" s="39"/>
      <c r="G27" s="38"/>
    </row>
    <row r="28" customFormat="false" ht="16.5" hidden="false" customHeight="true" outlineLevel="0" collapsed="false">
      <c r="B28" s="36"/>
      <c r="C28" s="48"/>
      <c r="D28" s="36"/>
      <c r="E28" s="37"/>
      <c r="F28" s="37"/>
      <c r="G28" s="36"/>
    </row>
    <row r="29" customFormat="false" ht="16.5" hidden="false" customHeight="true" outlineLevel="0" collapsed="false">
      <c r="B29" s="38"/>
      <c r="C29" s="49"/>
      <c r="D29" s="38"/>
      <c r="E29" s="39"/>
      <c r="F29" s="39"/>
      <c r="G29" s="38"/>
    </row>
    <row r="30" customFormat="false" ht="16.5" hidden="false" customHeight="true" outlineLevel="0" collapsed="false">
      <c r="B30" s="36"/>
      <c r="C30" s="48"/>
      <c r="D30" s="36"/>
      <c r="E30" s="37"/>
      <c r="F30" s="37"/>
      <c r="G30" s="36"/>
    </row>
    <row r="31" customFormat="false" ht="16.5" hidden="false" customHeight="true" outlineLevel="0" collapsed="false">
      <c r="B31" s="38"/>
      <c r="C31" s="49"/>
      <c r="D31" s="38"/>
      <c r="E31" s="39"/>
      <c r="F31" s="39"/>
      <c r="G31" s="38"/>
    </row>
    <row r="32" customFormat="false" ht="16.5" hidden="false" customHeight="true" outlineLevel="0" collapsed="false">
      <c r="B32" s="36"/>
      <c r="C32" s="48"/>
      <c r="D32" s="36"/>
      <c r="E32" s="37"/>
      <c r="F32" s="37"/>
      <c r="G32" s="36"/>
    </row>
    <row r="33" customFormat="false" ht="16.5" hidden="false" customHeight="true" outlineLevel="0" collapsed="false">
      <c r="B33" s="38"/>
      <c r="C33" s="49"/>
      <c r="D33" s="38"/>
      <c r="E33" s="39"/>
      <c r="F33" s="39"/>
      <c r="G33" s="38"/>
    </row>
    <row r="34" customFormat="false" ht="16.5" hidden="false" customHeight="true" outlineLevel="0" collapsed="false">
      <c r="B34" s="36"/>
      <c r="C34" s="48"/>
      <c r="D34" s="36"/>
      <c r="E34" s="37"/>
      <c r="F34" s="37"/>
      <c r="G34" s="36"/>
    </row>
    <row r="35" customFormat="false" ht="16.5" hidden="false" customHeight="true" outlineLevel="0" collapsed="false">
      <c r="B35" s="38"/>
      <c r="C35" s="49"/>
      <c r="D35" s="38"/>
      <c r="E35" s="39"/>
      <c r="F35" s="39"/>
      <c r="G35" s="38"/>
    </row>
    <row r="36" customFormat="false" ht="16.5" hidden="false" customHeight="true" outlineLevel="0" collapsed="false">
      <c r="B36" s="36"/>
      <c r="C36" s="48"/>
      <c r="D36" s="36"/>
      <c r="E36" s="37"/>
      <c r="F36" s="37"/>
      <c r="G36" s="36"/>
    </row>
    <row r="37" customFormat="false" ht="16.5" hidden="false" customHeight="true" outlineLevel="0" collapsed="false">
      <c r="B37" s="38"/>
      <c r="C37" s="49"/>
      <c r="D37" s="38"/>
      <c r="E37" s="39"/>
      <c r="F37" s="39"/>
      <c r="G37" s="38"/>
    </row>
    <row r="38" customFormat="false" ht="16.5" hidden="false" customHeight="true" outlineLevel="0" collapsed="false">
      <c r="B38" s="36"/>
      <c r="C38" s="48"/>
      <c r="D38" s="36"/>
      <c r="E38" s="37"/>
      <c r="F38" s="37"/>
      <c r="G38" s="36"/>
    </row>
    <row r="39" customFormat="false" ht="16.5" hidden="false" customHeight="true" outlineLevel="0" collapsed="false">
      <c r="B39" s="38"/>
      <c r="C39" s="49"/>
      <c r="D39" s="38"/>
      <c r="E39" s="39"/>
      <c r="F39" s="39"/>
      <c r="G39" s="38"/>
    </row>
    <row r="40" customFormat="false" ht="16.5" hidden="false" customHeight="true" outlineLevel="0" collapsed="false">
      <c r="B40" s="36"/>
      <c r="C40" s="48"/>
      <c r="D40" s="36"/>
      <c r="E40" s="37"/>
      <c r="F40" s="37"/>
      <c r="G40" s="36"/>
    </row>
    <row r="41" customFormat="false" ht="16.5" hidden="false" customHeight="true" outlineLevel="0" collapsed="false">
      <c r="B41" s="38"/>
      <c r="C41" s="49"/>
      <c r="D41" s="38"/>
      <c r="E41" s="39"/>
      <c r="F41" s="39"/>
      <c r="G41" s="38"/>
    </row>
    <row r="42" customFormat="false" ht="16.5" hidden="false" customHeight="true" outlineLevel="0" collapsed="false">
      <c r="B42" s="36"/>
      <c r="C42" s="48"/>
      <c r="D42" s="36"/>
      <c r="E42" s="37"/>
      <c r="F42" s="37"/>
      <c r="G42" s="36"/>
    </row>
    <row r="43" customFormat="false" ht="16.5" hidden="false" customHeight="true" outlineLevel="0" collapsed="false">
      <c r="B43" s="38"/>
      <c r="C43" s="49"/>
      <c r="D43" s="38"/>
      <c r="E43" s="39"/>
      <c r="F43" s="39"/>
      <c r="G43" s="38"/>
    </row>
    <row r="44" customFormat="false" ht="16.5" hidden="false" customHeight="true" outlineLevel="0" collapsed="false">
      <c r="B44" s="36"/>
      <c r="C44" s="48"/>
      <c r="D44" s="36"/>
      <c r="E44" s="37"/>
      <c r="F44" s="37"/>
      <c r="G44" s="36"/>
    </row>
    <row r="45" customFormat="false" ht="16.5" hidden="false" customHeight="true" outlineLevel="0" collapsed="false">
      <c r="B45" s="38"/>
      <c r="C45" s="49"/>
      <c r="D45" s="38"/>
      <c r="E45" s="39"/>
      <c r="F45" s="39"/>
      <c r="G45" s="38"/>
    </row>
    <row r="46" customFormat="false" ht="16.5" hidden="false" customHeight="true" outlineLevel="0" collapsed="false">
      <c r="B46" s="36"/>
      <c r="C46" s="48"/>
      <c r="D46" s="36"/>
      <c r="E46" s="37"/>
      <c r="F46" s="37"/>
      <c r="G46" s="36"/>
    </row>
    <row r="47" customFormat="false" ht="16.5" hidden="false" customHeight="true" outlineLevel="0" collapsed="false">
      <c r="B47" s="38"/>
      <c r="C47" s="49"/>
      <c r="D47" s="38"/>
      <c r="E47" s="39"/>
      <c r="F47" s="39"/>
      <c r="G47" s="38"/>
    </row>
    <row r="48" customFormat="false" ht="16.5" hidden="false" customHeight="true" outlineLevel="0" collapsed="false">
      <c r="B48" s="36"/>
      <c r="C48" s="48"/>
      <c r="D48" s="36"/>
      <c r="E48" s="37"/>
      <c r="F48" s="37"/>
      <c r="G48" s="36"/>
    </row>
    <row r="49" customFormat="false" ht="16.5" hidden="false" customHeight="true" outlineLevel="0" collapsed="false">
      <c r="B49" s="38"/>
      <c r="C49" s="49"/>
      <c r="D49" s="38"/>
      <c r="E49" s="39"/>
      <c r="F49" s="39"/>
      <c r="G49" s="38"/>
    </row>
    <row r="50" customFormat="false" ht="16.5" hidden="false" customHeight="true" outlineLevel="0" collapsed="false">
      <c r="B50" s="36"/>
      <c r="C50" s="48"/>
      <c r="D50" s="36"/>
      <c r="E50" s="37"/>
      <c r="F50" s="37"/>
      <c r="G50" s="36"/>
    </row>
    <row r="51" customFormat="false" ht="16.5" hidden="false" customHeight="true" outlineLevel="0" collapsed="false">
      <c r="B51" s="38"/>
      <c r="C51" s="49"/>
      <c r="D51" s="38"/>
      <c r="E51" s="39"/>
      <c r="F51" s="39"/>
      <c r="G51" s="38"/>
    </row>
    <row r="52" customFormat="false" ht="16.5" hidden="false" customHeight="true" outlineLevel="0" collapsed="false">
      <c r="B52" s="36"/>
      <c r="C52" s="48"/>
      <c r="D52" s="36"/>
      <c r="E52" s="37"/>
      <c r="F52" s="37"/>
      <c r="G52" s="36"/>
    </row>
    <row r="53" customFormat="false" ht="16.5" hidden="false" customHeight="true" outlineLevel="0" collapsed="false">
      <c r="B53" s="38"/>
      <c r="C53" s="49"/>
      <c r="D53" s="38"/>
      <c r="E53" s="39"/>
      <c r="F53" s="39"/>
      <c r="G53" s="38"/>
    </row>
    <row r="54" customFormat="false" ht="16.5" hidden="false" customHeight="true" outlineLevel="0" collapsed="false">
      <c r="B54" s="36"/>
      <c r="C54" s="48"/>
      <c r="D54" s="36"/>
      <c r="E54" s="37"/>
      <c r="F54" s="37"/>
      <c r="G54" s="36"/>
    </row>
    <row r="55" customFormat="false" ht="16.5" hidden="false" customHeight="true" outlineLevel="0" collapsed="false">
      <c r="B55" s="38"/>
      <c r="C55" s="49"/>
      <c r="D55" s="38"/>
      <c r="E55" s="39"/>
      <c r="F55" s="39"/>
      <c r="G55" s="38"/>
    </row>
    <row r="56" customFormat="false" ht="16.5" hidden="false" customHeight="true" outlineLevel="0" collapsed="false">
      <c r="B56" s="36"/>
      <c r="C56" s="48"/>
      <c r="D56" s="36"/>
      <c r="E56" s="37"/>
      <c r="F56" s="37"/>
      <c r="G56" s="36"/>
    </row>
    <row r="57" customFormat="false" ht="16.5" hidden="false" customHeight="true" outlineLevel="0" collapsed="false">
      <c r="B57" s="38"/>
      <c r="C57" s="49"/>
      <c r="D57" s="38"/>
      <c r="E57" s="39"/>
      <c r="F57" s="39"/>
      <c r="G57" s="38"/>
    </row>
    <row r="58" customFormat="false" ht="16.5" hidden="false" customHeight="true" outlineLevel="0" collapsed="false">
      <c r="B58" s="36"/>
      <c r="C58" s="48"/>
      <c r="D58" s="36"/>
      <c r="E58" s="37"/>
      <c r="F58" s="37"/>
      <c r="G58" s="36"/>
    </row>
    <row r="59" customFormat="false" ht="16.5" hidden="false" customHeight="true" outlineLevel="0" collapsed="false">
      <c r="B59" s="38"/>
      <c r="C59" s="49"/>
      <c r="D59" s="38"/>
      <c r="E59" s="39"/>
      <c r="F59" s="39"/>
      <c r="G59" s="38"/>
    </row>
    <row r="60" customFormat="false" ht="16.5" hidden="false" customHeight="true" outlineLevel="0" collapsed="false">
      <c r="B60" s="36"/>
      <c r="C60" s="48"/>
      <c r="D60" s="36"/>
      <c r="E60" s="37"/>
      <c r="F60" s="37"/>
      <c r="G60" s="36"/>
    </row>
    <row r="61" customFormat="false" ht="16.5" hidden="false" customHeight="true" outlineLevel="0" collapsed="false">
      <c r="B61" s="38"/>
      <c r="C61" s="49"/>
      <c r="D61" s="38"/>
      <c r="E61" s="39"/>
      <c r="F61" s="39"/>
      <c r="G61" s="38"/>
    </row>
    <row r="62" customFormat="false" ht="16.5" hidden="false" customHeight="true" outlineLevel="0" collapsed="false"/>
    <row r="63" customFormat="false" ht="16.5" hidden="false" customHeight="true" outlineLevel="0" collapsed="false">
      <c r="B63" s="50" t="s">
        <v>231</v>
      </c>
      <c r="C63" s="50"/>
      <c r="D63" s="50"/>
      <c r="E63" s="50"/>
      <c r="F63" s="50"/>
      <c r="G63" s="50"/>
    </row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</sheetData>
  <mergeCells count="4">
    <mergeCell ref="B1:G2"/>
    <mergeCell ref="B6:G6"/>
    <mergeCell ref="B20:G20"/>
    <mergeCell ref="B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2026-06-10T03:23:12Z</dcterms:created>
  <dc:creator>openpyxl</dc:creator>
  <dc:description/>
  <dc:language>en-US</dc:language>
  <cp:lastModifiedBy/>
  <dcterms:modified xsi:type="dcterms:W3CDTF">2026-06-10T03:23:28Z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